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slicers/slicer1.xml" ContentType="application/vnd.ms-excel.slicer+xml"/>
  <Override PartName="/xl/drawings/drawing1.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mac/Downloads/"/>
    </mc:Choice>
  </mc:AlternateContent>
  <xr:revisionPtr revIDLastSave="0" documentId="8_{E5B3D622-791C-804F-9337-BFB686946C11}" xr6:coauthVersionLast="47" xr6:coauthVersionMax="47" xr10:uidLastSave="{00000000-0000-0000-0000-000000000000}"/>
  <bookViews>
    <workbookView xWindow="0" yWindow="0" windowWidth="28800" windowHeight="18000" activeTab="1" xr2:uid="{00000000-000D-0000-FFFF-FFFF00000000}"/>
  </bookViews>
  <sheets>
    <sheet name="Pivots" sheetId="3" r:id="rId1"/>
    <sheet name="Dashboard" sheetId="4" r:id="rId2"/>
    <sheet name="Data" sheetId="1" r:id="rId3"/>
  </sheets>
  <definedNames>
    <definedName name="_xlchart.v1.0" hidden="1">Data!$G$1</definedName>
    <definedName name="_xlchart.v1.1" hidden="1">Data!$G$2:$G$301</definedName>
    <definedName name="_xlchart.v1.2" hidden="1">Data!$G$1</definedName>
    <definedName name="_xlchart.v1.3" hidden="1">Data!$G$2:$G$301</definedName>
    <definedName name="_xlchart.v1.4" hidden="1">Data!$G$1</definedName>
    <definedName name="_xlchart.v1.5" hidden="1">Data!$G$2:$G$301</definedName>
    <definedName name="NativeTimeline_Visit_Date">#N/A</definedName>
    <definedName name="Slicer_Malaria_Status">#N/A</definedName>
    <definedName name="Slicer_Outcome">#N/A</definedName>
    <definedName name="Slicer_Sex">#N/A</definedName>
    <definedName name="Slicer_Ward">#N/A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Q247" i="1" l="1"/>
  <c r="Q231" i="1"/>
  <c r="Q226" i="1"/>
  <c r="P234" i="1"/>
  <c r="P227" i="1"/>
  <c r="P228"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9" i="1"/>
  <c r="P230" i="1"/>
  <c r="P231" i="1"/>
  <c r="P232" i="1"/>
  <c r="P233"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7" i="1"/>
  <c r="Q228" i="1"/>
  <c r="Q229" i="1"/>
  <c r="Q230" i="1"/>
  <c r="Q232" i="1"/>
  <c r="Q233" i="1"/>
  <c r="Q234" i="1"/>
  <c r="Q235" i="1"/>
  <c r="Q236" i="1"/>
  <c r="Q237" i="1"/>
  <c r="Q238" i="1"/>
  <c r="Q239" i="1"/>
  <c r="Q240" i="1"/>
  <c r="Q241" i="1"/>
  <c r="Q242" i="1"/>
  <c r="Q243" i="1"/>
  <c r="Q244" i="1"/>
  <c r="Q245" i="1"/>
  <c r="Q246"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O301" i="1"/>
  <c r="N301" i="1"/>
  <c r="M301" i="1"/>
  <c r="O300" i="1"/>
  <c r="N300" i="1"/>
  <c r="M300" i="1"/>
  <c r="O299" i="1"/>
  <c r="N299" i="1"/>
  <c r="M299" i="1"/>
  <c r="O298" i="1"/>
  <c r="N298" i="1"/>
  <c r="M298" i="1"/>
  <c r="O297" i="1"/>
  <c r="N297" i="1"/>
  <c r="M297" i="1"/>
  <c r="O296" i="1"/>
  <c r="N296" i="1"/>
  <c r="M296" i="1"/>
  <c r="O295" i="1"/>
  <c r="N295" i="1"/>
  <c r="M295" i="1"/>
  <c r="O294" i="1"/>
  <c r="N294" i="1"/>
  <c r="M294" i="1"/>
  <c r="O293" i="1"/>
  <c r="N293" i="1"/>
  <c r="M293" i="1"/>
  <c r="O292" i="1"/>
  <c r="N292" i="1"/>
  <c r="M292" i="1"/>
  <c r="O291" i="1"/>
  <c r="N291" i="1"/>
  <c r="M291" i="1"/>
  <c r="O290" i="1"/>
  <c r="N290" i="1"/>
  <c r="M290" i="1"/>
  <c r="O289" i="1"/>
  <c r="N289" i="1"/>
  <c r="M289" i="1"/>
  <c r="O288" i="1"/>
  <c r="N288" i="1"/>
  <c r="M288" i="1"/>
  <c r="O287" i="1"/>
  <c r="N287" i="1"/>
  <c r="M287" i="1"/>
  <c r="O286" i="1"/>
  <c r="N286" i="1"/>
  <c r="M286" i="1"/>
  <c r="O285" i="1"/>
  <c r="N285" i="1"/>
  <c r="M285" i="1"/>
  <c r="O284" i="1"/>
  <c r="N284" i="1"/>
  <c r="M284" i="1"/>
  <c r="O283" i="1"/>
  <c r="N283" i="1"/>
  <c r="M283" i="1"/>
  <c r="O282" i="1"/>
  <c r="N282" i="1"/>
  <c r="M282" i="1"/>
  <c r="O281" i="1"/>
  <c r="N281" i="1"/>
  <c r="M281" i="1"/>
  <c r="O280" i="1"/>
  <c r="N280" i="1"/>
  <c r="M280" i="1"/>
  <c r="O279" i="1"/>
  <c r="N279" i="1"/>
  <c r="M279" i="1"/>
  <c r="O278" i="1"/>
  <c r="N278" i="1"/>
  <c r="M278" i="1"/>
  <c r="O277" i="1"/>
  <c r="N277" i="1"/>
  <c r="M277" i="1"/>
  <c r="O276" i="1"/>
  <c r="N276" i="1"/>
  <c r="M276" i="1"/>
  <c r="O275" i="1"/>
  <c r="N275" i="1"/>
  <c r="M275" i="1"/>
  <c r="O274" i="1"/>
  <c r="N274" i="1"/>
  <c r="M274" i="1"/>
  <c r="O273" i="1"/>
  <c r="N273" i="1"/>
  <c r="M273" i="1"/>
  <c r="O272" i="1"/>
  <c r="N272" i="1"/>
  <c r="M272" i="1"/>
  <c r="O271" i="1"/>
  <c r="N271" i="1"/>
  <c r="M271" i="1"/>
  <c r="O270" i="1"/>
  <c r="N270" i="1"/>
  <c r="M270" i="1"/>
  <c r="O269" i="1"/>
  <c r="N269" i="1"/>
  <c r="M269" i="1"/>
  <c r="O268" i="1"/>
  <c r="N268" i="1"/>
  <c r="M268" i="1"/>
  <c r="O267" i="1"/>
  <c r="N267" i="1"/>
  <c r="M267" i="1"/>
  <c r="O266" i="1"/>
  <c r="N266" i="1"/>
  <c r="M266" i="1"/>
  <c r="O265" i="1"/>
  <c r="N265" i="1"/>
  <c r="M265" i="1"/>
  <c r="O264" i="1"/>
  <c r="N264" i="1"/>
  <c r="M264" i="1"/>
  <c r="O263" i="1"/>
  <c r="N263" i="1"/>
  <c r="M263" i="1"/>
  <c r="O262" i="1"/>
  <c r="N262" i="1"/>
  <c r="M262" i="1"/>
  <c r="O261" i="1"/>
  <c r="N261" i="1"/>
  <c r="M261" i="1"/>
  <c r="O260" i="1"/>
  <c r="N260" i="1"/>
  <c r="M260" i="1"/>
  <c r="O259" i="1"/>
  <c r="N259" i="1"/>
  <c r="M259" i="1"/>
  <c r="O258" i="1"/>
  <c r="N258" i="1"/>
  <c r="M258" i="1"/>
  <c r="O257" i="1"/>
  <c r="N257" i="1"/>
  <c r="M257" i="1"/>
  <c r="O256" i="1"/>
  <c r="N256" i="1"/>
  <c r="M256" i="1"/>
  <c r="O255" i="1"/>
  <c r="N255" i="1"/>
  <c r="M255" i="1"/>
  <c r="O254" i="1"/>
  <c r="N254" i="1"/>
  <c r="M254" i="1"/>
  <c r="O253" i="1"/>
  <c r="N253" i="1"/>
  <c r="M253" i="1"/>
  <c r="O252" i="1"/>
  <c r="N252" i="1"/>
  <c r="M252" i="1"/>
  <c r="O251" i="1"/>
  <c r="N251" i="1"/>
  <c r="M251" i="1"/>
  <c r="O250" i="1"/>
  <c r="N250" i="1"/>
  <c r="M250" i="1"/>
  <c r="O249" i="1"/>
  <c r="N249" i="1"/>
  <c r="M249" i="1"/>
  <c r="O248" i="1"/>
  <c r="N248" i="1"/>
  <c r="M248" i="1"/>
  <c r="O247" i="1"/>
  <c r="N247" i="1"/>
  <c r="M247" i="1"/>
  <c r="O246" i="1"/>
  <c r="N246" i="1"/>
  <c r="M246" i="1"/>
  <c r="O245" i="1"/>
  <c r="N245" i="1"/>
  <c r="M245" i="1"/>
  <c r="O244" i="1"/>
  <c r="N244" i="1"/>
  <c r="M244" i="1"/>
  <c r="O243" i="1"/>
  <c r="N243" i="1"/>
  <c r="M243" i="1"/>
  <c r="O242" i="1"/>
  <c r="N242" i="1"/>
  <c r="M242" i="1"/>
  <c r="O241" i="1"/>
  <c r="N241" i="1"/>
  <c r="M241" i="1"/>
  <c r="O240" i="1"/>
  <c r="N240" i="1"/>
  <c r="M240" i="1"/>
  <c r="O239" i="1"/>
  <c r="N239" i="1"/>
  <c r="M239" i="1"/>
  <c r="O238" i="1"/>
  <c r="N238" i="1"/>
  <c r="M238" i="1"/>
  <c r="O237" i="1"/>
  <c r="N237" i="1"/>
  <c r="M237" i="1"/>
  <c r="O236" i="1"/>
  <c r="N236" i="1"/>
  <c r="M236" i="1"/>
  <c r="O235" i="1"/>
  <c r="N235" i="1"/>
  <c r="M235" i="1"/>
  <c r="O234" i="1"/>
  <c r="N234" i="1"/>
  <c r="M234" i="1"/>
  <c r="O233" i="1"/>
  <c r="N233" i="1"/>
  <c r="M233" i="1"/>
  <c r="O232" i="1"/>
  <c r="N232" i="1"/>
  <c r="M232" i="1"/>
  <c r="O231" i="1"/>
  <c r="N231" i="1"/>
  <c r="M231" i="1"/>
  <c r="O230" i="1"/>
  <c r="N230" i="1"/>
  <c r="M230" i="1"/>
  <c r="O229" i="1"/>
  <c r="N229" i="1"/>
  <c r="M229" i="1"/>
  <c r="O228" i="1"/>
  <c r="N228" i="1"/>
  <c r="M228" i="1"/>
  <c r="O227" i="1"/>
  <c r="N227" i="1"/>
  <c r="M227" i="1"/>
  <c r="O226" i="1"/>
  <c r="N226" i="1"/>
  <c r="M226" i="1"/>
  <c r="O225" i="1"/>
  <c r="N225" i="1"/>
  <c r="M225" i="1"/>
  <c r="O224" i="1"/>
  <c r="N224" i="1"/>
  <c r="M224" i="1"/>
  <c r="O223" i="1"/>
  <c r="N223" i="1"/>
  <c r="M223" i="1"/>
  <c r="O222" i="1"/>
  <c r="N222" i="1"/>
  <c r="M222" i="1"/>
  <c r="O221" i="1"/>
  <c r="N221" i="1"/>
  <c r="M221" i="1"/>
  <c r="O220" i="1"/>
  <c r="N220" i="1"/>
  <c r="M220" i="1"/>
  <c r="O219" i="1"/>
  <c r="N219" i="1"/>
  <c r="M219" i="1"/>
  <c r="O218" i="1"/>
  <c r="N218" i="1"/>
  <c r="M218" i="1"/>
  <c r="O217" i="1"/>
  <c r="N217" i="1"/>
  <c r="M217" i="1"/>
  <c r="O216" i="1"/>
  <c r="N216" i="1"/>
  <c r="M216" i="1"/>
  <c r="O215" i="1"/>
  <c r="N215" i="1"/>
  <c r="M215" i="1"/>
  <c r="O214" i="1"/>
  <c r="N214" i="1"/>
  <c r="M214" i="1"/>
  <c r="O213" i="1"/>
  <c r="N213" i="1"/>
  <c r="M213" i="1"/>
  <c r="O212" i="1"/>
  <c r="N212" i="1"/>
  <c r="M212" i="1"/>
  <c r="O211" i="1"/>
  <c r="N211" i="1"/>
  <c r="M211" i="1"/>
  <c r="O210" i="1"/>
  <c r="N210" i="1"/>
  <c r="M210" i="1"/>
  <c r="O209" i="1"/>
  <c r="N209" i="1"/>
  <c r="M209" i="1"/>
  <c r="O208" i="1"/>
  <c r="N208" i="1"/>
  <c r="M208" i="1"/>
  <c r="O207" i="1"/>
  <c r="N207" i="1"/>
  <c r="M207" i="1"/>
  <c r="O206" i="1"/>
  <c r="N206" i="1"/>
  <c r="M206" i="1"/>
  <c r="O205" i="1"/>
  <c r="N205" i="1"/>
  <c r="M205" i="1"/>
  <c r="O204" i="1"/>
  <c r="N204" i="1"/>
  <c r="M204" i="1"/>
  <c r="O203" i="1"/>
  <c r="N203" i="1"/>
  <c r="M203" i="1"/>
  <c r="O202" i="1"/>
  <c r="N202" i="1"/>
  <c r="M202" i="1"/>
  <c r="O201" i="1"/>
  <c r="N201" i="1"/>
  <c r="M201" i="1"/>
  <c r="O200" i="1"/>
  <c r="N200" i="1"/>
  <c r="M200" i="1"/>
  <c r="O199" i="1"/>
  <c r="N199" i="1"/>
  <c r="M199" i="1"/>
  <c r="O198" i="1"/>
  <c r="N198" i="1"/>
  <c r="M198" i="1"/>
  <c r="O197" i="1"/>
  <c r="N197" i="1"/>
  <c r="M197" i="1"/>
  <c r="O196" i="1"/>
  <c r="N196" i="1"/>
  <c r="M196" i="1"/>
  <c r="O195" i="1"/>
  <c r="N195" i="1"/>
  <c r="M195" i="1"/>
  <c r="O194" i="1"/>
  <c r="N194" i="1"/>
  <c r="M194" i="1"/>
  <c r="O193" i="1"/>
  <c r="N193" i="1"/>
  <c r="M193" i="1"/>
  <c r="O192" i="1"/>
  <c r="N192" i="1"/>
  <c r="M192" i="1"/>
  <c r="O191" i="1"/>
  <c r="N191" i="1"/>
  <c r="M191" i="1"/>
  <c r="O190" i="1"/>
  <c r="N190" i="1"/>
  <c r="M190" i="1"/>
  <c r="O189" i="1"/>
  <c r="N189" i="1"/>
  <c r="M189" i="1"/>
  <c r="O188" i="1"/>
  <c r="N188" i="1"/>
  <c r="M188" i="1"/>
  <c r="O187" i="1"/>
  <c r="N187" i="1"/>
  <c r="M187" i="1"/>
  <c r="O186" i="1"/>
  <c r="N186" i="1"/>
  <c r="M186" i="1"/>
  <c r="O185" i="1"/>
  <c r="N185" i="1"/>
  <c r="M185" i="1"/>
  <c r="O184" i="1"/>
  <c r="N184" i="1"/>
  <c r="M184" i="1"/>
  <c r="O183" i="1"/>
  <c r="N183" i="1"/>
  <c r="M183" i="1"/>
  <c r="O182" i="1"/>
  <c r="N182" i="1"/>
  <c r="M182" i="1"/>
  <c r="O181" i="1"/>
  <c r="N181" i="1"/>
  <c r="M181" i="1"/>
  <c r="O180" i="1"/>
  <c r="N180" i="1"/>
  <c r="M180" i="1"/>
  <c r="O179" i="1"/>
  <c r="N179" i="1"/>
  <c r="M179" i="1"/>
  <c r="O178" i="1"/>
  <c r="N178" i="1"/>
  <c r="M178" i="1"/>
  <c r="O177" i="1"/>
  <c r="N177" i="1"/>
  <c r="M177" i="1"/>
  <c r="O176" i="1"/>
  <c r="N176" i="1"/>
  <c r="M176" i="1"/>
  <c r="O175" i="1"/>
  <c r="N175" i="1"/>
  <c r="M175" i="1"/>
  <c r="O174" i="1"/>
  <c r="N174" i="1"/>
  <c r="M174" i="1"/>
  <c r="O173" i="1"/>
  <c r="N173" i="1"/>
  <c r="M173" i="1"/>
  <c r="O172" i="1"/>
  <c r="N172" i="1"/>
  <c r="M172" i="1"/>
  <c r="O171" i="1"/>
  <c r="N171" i="1"/>
  <c r="M171" i="1"/>
  <c r="O170" i="1"/>
  <c r="N170" i="1"/>
  <c r="M170" i="1"/>
  <c r="O169" i="1"/>
  <c r="N169" i="1"/>
  <c r="M169" i="1"/>
  <c r="O168" i="1"/>
  <c r="N168" i="1"/>
  <c r="M168" i="1"/>
  <c r="O167" i="1"/>
  <c r="N167" i="1"/>
  <c r="M167" i="1"/>
  <c r="O166" i="1"/>
  <c r="N166" i="1"/>
  <c r="M166" i="1"/>
  <c r="O165" i="1"/>
  <c r="N165" i="1"/>
  <c r="M165" i="1"/>
  <c r="O164" i="1"/>
  <c r="N164" i="1"/>
  <c r="M164" i="1"/>
  <c r="O163" i="1"/>
  <c r="N163" i="1"/>
  <c r="M163" i="1"/>
  <c r="O162" i="1"/>
  <c r="N162" i="1"/>
  <c r="M162" i="1"/>
  <c r="O161" i="1"/>
  <c r="N161" i="1"/>
  <c r="M161" i="1"/>
  <c r="O160" i="1"/>
  <c r="N160" i="1"/>
  <c r="M160" i="1"/>
  <c r="O159" i="1"/>
  <c r="N159" i="1"/>
  <c r="M159" i="1"/>
  <c r="O158" i="1"/>
  <c r="N158" i="1"/>
  <c r="M158" i="1"/>
  <c r="O157" i="1"/>
  <c r="N157" i="1"/>
  <c r="M157" i="1"/>
  <c r="O156" i="1"/>
  <c r="N156" i="1"/>
  <c r="M156" i="1"/>
  <c r="O155" i="1"/>
  <c r="N155" i="1"/>
  <c r="M155" i="1"/>
  <c r="O154" i="1"/>
  <c r="N154" i="1"/>
  <c r="M154" i="1"/>
  <c r="O153" i="1"/>
  <c r="N153" i="1"/>
  <c r="M153" i="1"/>
  <c r="O152" i="1"/>
  <c r="N152" i="1"/>
  <c r="M152" i="1"/>
  <c r="O151" i="1"/>
  <c r="N151" i="1"/>
  <c r="M151" i="1"/>
  <c r="O150" i="1"/>
  <c r="N150" i="1"/>
  <c r="M150" i="1"/>
  <c r="O149" i="1"/>
  <c r="N149" i="1"/>
  <c r="M149" i="1"/>
  <c r="O148" i="1"/>
  <c r="N148" i="1"/>
  <c r="M148" i="1"/>
  <c r="O147" i="1"/>
  <c r="N147" i="1"/>
  <c r="M147" i="1"/>
  <c r="O146" i="1"/>
  <c r="N146" i="1"/>
  <c r="M146" i="1"/>
  <c r="O145" i="1"/>
  <c r="N145" i="1"/>
  <c r="M145" i="1"/>
  <c r="O144" i="1"/>
  <c r="N144" i="1"/>
  <c r="M144" i="1"/>
  <c r="O143" i="1"/>
  <c r="N143" i="1"/>
  <c r="M143" i="1"/>
  <c r="O142" i="1"/>
  <c r="N142" i="1"/>
  <c r="M142" i="1"/>
  <c r="O141" i="1"/>
  <c r="N141" i="1"/>
  <c r="M141" i="1"/>
  <c r="O140" i="1"/>
  <c r="N140" i="1"/>
  <c r="M140" i="1"/>
  <c r="O139" i="1"/>
  <c r="N139" i="1"/>
  <c r="M139" i="1"/>
  <c r="O138" i="1"/>
  <c r="N138" i="1"/>
  <c r="M138" i="1"/>
  <c r="O137" i="1"/>
  <c r="N137" i="1"/>
  <c r="M137" i="1"/>
  <c r="O136" i="1"/>
  <c r="N136" i="1"/>
  <c r="M136" i="1"/>
  <c r="O135" i="1"/>
  <c r="N135" i="1"/>
  <c r="M135" i="1"/>
  <c r="O134" i="1"/>
  <c r="N134" i="1"/>
  <c r="M134" i="1"/>
  <c r="O133" i="1"/>
  <c r="N133" i="1"/>
  <c r="M133" i="1"/>
  <c r="O132" i="1"/>
  <c r="N132" i="1"/>
  <c r="M132" i="1"/>
  <c r="O131" i="1"/>
  <c r="N131" i="1"/>
  <c r="M131" i="1"/>
  <c r="O130" i="1"/>
  <c r="N130" i="1"/>
  <c r="M130" i="1"/>
  <c r="O129" i="1"/>
  <c r="N129" i="1"/>
  <c r="M129" i="1"/>
  <c r="O128" i="1"/>
  <c r="N128" i="1"/>
  <c r="M128" i="1"/>
  <c r="O127" i="1"/>
  <c r="N127" i="1"/>
  <c r="M127" i="1"/>
  <c r="O126" i="1"/>
  <c r="N126" i="1"/>
  <c r="M126" i="1"/>
  <c r="O125" i="1"/>
  <c r="N125" i="1"/>
  <c r="M125" i="1"/>
  <c r="O124" i="1"/>
  <c r="N124" i="1"/>
  <c r="M124" i="1"/>
  <c r="O123" i="1"/>
  <c r="N123" i="1"/>
  <c r="M123" i="1"/>
  <c r="O122" i="1"/>
  <c r="N122" i="1"/>
  <c r="M122" i="1"/>
  <c r="O121" i="1"/>
  <c r="N121" i="1"/>
  <c r="M121" i="1"/>
  <c r="O120" i="1"/>
  <c r="N120" i="1"/>
  <c r="M120" i="1"/>
  <c r="O119" i="1"/>
  <c r="N119" i="1"/>
  <c r="M119" i="1"/>
  <c r="O118" i="1"/>
  <c r="N118" i="1"/>
  <c r="M118" i="1"/>
  <c r="O117" i="1"/>
  <c r="N117" i="1"/>
  <c r="M117" i="1"/>
  <c r="O116" i="1"/>
  <c r="N116" i="1"/>
  <c r="M116" i="1"/>
  <c r="O115" i="1"/>
  <c r="N115" i="1"/>
  <c r="M115" i="1"/>
  <c r="O114" i="1"/>
  <c r="N114" i="1"/>
  <c r="M114" i="1"/>
  <c r="O113" i="1"/>
  <c r="N113" i="1"/>
  <c r="M113" i="1"/>
  <c r="O112" i="1"/>
  <c r="N112" i="1"/>
  <c r="M112" i="1"/>
  <c r="O111" i="1"/>
  <c r="N111" i="1"/>
  <c r="M111" i="1"/>
  <c r="O110" i="1"/>
  <c r="N110" i="1"/>
  <c r="M110" i="1"/>
  <c r="O109" i="1"/>
  <c r="N109" i="1"/>
  <c r="M109" i="1"/>
  <c r="O108" i="1"/>
  <c r="N108" i="1"/>
  <c r="M108" i="1"/>
  <c r="O107" i="1"/>
  <c r="N107" i="1"/>
  <c r="M107" i="1"/>
  <c r="O106" i="1"/>
  <c r="N106" i="1"/>
  <c r="M106" i="1"/>
  <c r="O105" i="1"/>
  <c r="N105" i="1"/>
  <c r="M105" i="1"/>
  <c r="O104" i="1"/>
  <c r="N104" i="1"/>
  <c r="M104" i="1"/>
  <c r="O103" i="1"/>
  <c r="N103" i="1"/>
  <c r="M103" i="1"/>
  <c r="O102" i="1"/>
  <c r="N102" i="1"/>
  <c r="M102" i="1"/>
  <c r="O101" i="1"/>
  <c r="N101" i="1"/>
  <c r="M101" i="1"/>
  <c r="O100" i="1"/>
  <c r="N100" i="1"/>
  <c r="M100" i="1"/>
  <c r="O99" i="1"/>
  <c r="N99" i="1"/>
  <c r="M99" i="1"/>
  <c r="O98" i="1"/>
  <c r="N98" i="1"/>
  <c r="M98" i="1"/>
  <c r="O97" i="1"/>
  <c r="N97" i="1"/>
  <c r="M97" i="1"/>
  <c r="O96" i="1"/>
  <c r="N96" i="1"/>
  <c r="M96" i="1"/>
  <c r="O95" i="1"/>
  <c r="N95" i="1"/>
  <c r="M95" i="1"/>
  <c r="O94" i="1"/>
  <c r="N94" i="1"/>
  <c r="M94" i="1"/>
  <c r="O93" i="1"/>
  <c r="N93" i="1"/>
  <c r="M93" i="1"/>
  <c r="O92" i="1"/>
  <c r="N92" i="1"/>
  <c r="M92" i="1"/>
  <c r="O91" i="1"/>
  <c r="N91" i="1"/>
  <c r="M91" i="1"/>
  <c r="O90" i="1"/>
  <c r="N90" i="1"/>
  <c r="M90" i="1"/>
  <c r="O89" i="1"/>
  <c r="N89" i="1"/>
  <c r="M89" i="1"/>
  <c r="O88" i="1"/>
  <c r="N88" i="1"/>
  <c r="M88" i="1"/>
  <c r="O87" i="1"/>
  <c r="N87" i="1"/>
  <c r="M87" i="1"/>
  <c r="O86" i="1"/>
  <c r="N86" i="1"/>
  <c r="M86" i="1"/>
  <c r="O85" i="1"/>
  <c r="N85" i="1"/>
  <c r="M85" i="1"/>
  <c r="O84" i="1"/>
  <c r="N84" i="1"/>
  <c r="M84" i="1"/>
  <c r="O83" i="1"/>
  <c r="N83" i="1"/>
  <c r="M83" i="1"/>
  <c r="O82" i="1"/>
  <c r="N82" i="1"/>
  <c r="M82" i="1"/>
  <c r="O81" i="1"/>
  <c r="N81" i="1"/>
  <c r="M81" i="1"/>
  <c r="O80" i="1"/>
  <c r="N80" i="1"/>
  <c r="M80" i="1"/>
  <c r="O79" i="1"/>
  <c r="N79" i="1"/>
  <c r="M79" i="1"/>
  <c r="O78" i="1"/>
  <c r="N78" i="1"/>
  <c r="M78" i="1"/>
  <c r="O77" i="1"/>
  <c r="N77" i="1"/>
  <c r="M77" i="1"/>
  <c r="O76" i="1"/>
  <c r="N76" i="1"/>
  <c r="M76" i="1"/>
  <c r="O75" i="1"/>
  <c r="N75" i="1"/>
  <c r="M75" i="1"/>
  <c r="O74" i="1"/>
  <c r="N74" i="1"/>
  <c r="M74" i="1"/>
  <c r="O73" i="1"/>
  <c r="N73" i="1"/>
  <c r="M73" i="1"/>
  <c r="O72" i="1"/>
  <c r="N72" i="1"/>
  <c r="M72" i="1"/>
  <c r="O71" i="1"/>
  <c r="N71" i="1"/>
  <c r="M71" i="1"/>
  <c r="O70" i="1"/>
  <c r="N70" i="1"/>
  <c r="M70" i="1"/>
  <c r="O69" i="1"/>
  <c r="N69" i="1"/>
  <c r="M69" i="1"/>
  <c r="O68" i="1"/>
  <c r="N68" i="1"/>
  <c r="M68" i="1"/>
  <c r="O67" i="1"/>
  <c r="N67" i="1"/>
  <c r="M67" i="1"/>
  <c r="O66" i="1"/>
  <c r="N66" i="1"/>
  <c r="M66" i="1"/>
  <c r="O65" i="1"/>
  <c r="N65" i="1"/>
  <c r="M65" i="1"/>
  <c r="O64" i="1"/>
  <c r="N64" i="1"/>
  <c r="M64" i="1"/>
  <c r="O63" i="1"/>
  <c r="N63" i="1"/>
  <c r="M63" i="1"/>
  <c r="O62" i="1"/>
  <c r="N62" i="1"/>
  <c r="M62" i="1"/>
  <c r="O61" i="1"/>
  <c r="N61" i="1"/>
  <c r="M61" i="1"/>
  <c r="O60" i="1"/>
  <c r="N60" i="1"/>
  <c r="M60" i="1"/>
  <c r="O59" i="1"/>
  <c r="N59" i="1"/>
  <c r="M59" i="1"/>
  <c r="O58" i="1"/>
  <c r="N58" i="1"/>
  <c r="M58" i="1"/>
  <c r="O57" i="1"/>
  <c r="N57" i="1"/>
  <c r="M57" i="1"/>
  <c r="O56" i="1"/>
  <c r="N56" i="1"/>
  <c r="M56" i="1"/>
  <c r="O55" i="1"/>
  <c r="N55" i="1"/>
  <c r="M55" i="1"/>
  <c r="O54" i="1"/>
  <c r="N54" i="1"/>
  <c r="M54" i="1"/>
  <c r="O53" i="1"/>
  <c r="N53" i="1"/>
  <c r="M53" i="1"/>
  <c r="O52" i="1"/>
  <c r="N52" i="1"/>
  <c r="M52" i="1"/>
  <c r="O51" i="1"/>
  <c r="N51" i="1"/>
  <c r="M51" i="1"/>
  <c r="O50" i="1"/>
  <c r="N50" i="1"/>
  <c r="M50" i="1"/>
  <c r="O49" i="1"/>
  <c r="N49" i="1"/>
  <c r="M49" i="1"/>
  <c r="O48" i="1"/>
  <c r="N48" i="1"/>
  <c r="M48" i="1"/>
  <c r="O47" i="1"/>
  <c r="N47" i="1"/>
  <c r="M47" i="1"/>
  <c r="O46" i="1"/>
  <c r="N46" i="1"/>
  <c r="M46" i="1"/>
  <c r="O45" i="1"/>
  <c r="N45" i="1"/>
  <c r="M45" i="1"/>
  <c r="O44" i="1"/>
  <c r="N44" i="1"/>
  <c r="M44" i="1"/>
  <c r="O43" i="1"/>
  <c r="N43" i="1"/>
  <c r="M43" i="1"/>
  <c r="O42" i="1"/>
  <c r="N42" i="1"/>
  <c r="M42" i="1"/>
  <c r="O41" i="1"/>
  <c r="N41" i="1"/>
  <c r="M41" i="1"/>
  <c r="O40" i="1"/>
  <c r="N40" i="1"/>
  <c r="M40" i="1"/>
  <c r="O39" i="1"/>
  <c r="N39" i="1"/>
  <c r="M39" i="1"/>
  <c r="O38" i="1"/>
  <c r="N38" i="1"/>
  <c r="M38" i="1"/>
  <c r="O37" i="1"/>
  <c r="N37" i="1"/>
  <c r="M37" i="1"/>
  <c r="O36" i="1"/>
  <c r="N36" i="1"/>
  <c r="M36" i="1"/>
  <c r="O35" i="1"/>
  <c r="N35" i="1"/>
  <c r="M35" i="1"/>
  <c r="O34" i="1"/>
  <c r="N34" i="1"/>
  <c r="M34" i="1"/>
  <c r="O33" i="1"/>
  <c r="N33" i="1"/>
  <c r="M33" i="1"/>
  <c r="O32" i="1"/>
  <c r="N32" i="1"/>
  <c r="M32" i="1"/>
  <c r="O31" i="1"/>
  <c r="N31" i="1"/>
  <c r="M31" i="1"/>
  <c r="O30" i="1"/>
  <c r="N30" i="1"/>
  <c r="M30" i="1"/>
  <c r="O29" i="1"/>
  <c r="N29" i="1"/>
  <c r="M29" i="1"/>
  <c r="O28" i="1"/>
  <c r="N28" i="1"/>
  <c r="M28" i="1"/>
  <c r="O27" i="1"/>
  <c r="N27" i="1"/>
  <c r="M27" i="1"/>
  <c r="O26" i="1"/>
  <c r="N26" i="1"/>
  <c r="M26" i="1"/>
  <c r="O25" i="1"/>
  <c r="N25" i="1"/>
  <c r="M25" i="1"/>
  <c r="O24" i="1"/>
  <c r="N24" i="1"/>
  <c r="M24" i="1"/>
  <c r="O23" i="1"/>
  <c r="N23" i="1"/>
  <c r="M23" i="1"/>
  <c r="O22" i="1"/>
  <c r="N22" i="1"/>
  <c r="M22" i="1"/>
  <c r="O21" i="1"/>
  <c r="N21" i="1"/>
  <c r="M21" i="1"/>
  <c r="O20" i="1"/>
  <c r="N20" i="1"/>
  <c r="M20" i="1"/>
  <c r="O19" i="1"/>
  <c r="N19" i="1"/>
  <c r="M19" i="1"/>
  <c r="O18" i="1"/>
  <c r="N18" i="1"/>
  <c r="M18" i="1"/>
  <c r="O17" i="1"/>
  <c r="N17" i="1"/>
  <c r="M17" i="1"/>
  <c r="O16" i="1"/>
  <c r="N16" i="1"/>
  <c r="M16" i="1"/>
  <c r="O15" i="1"/>
  <c r="N15" i="1"/>
  <c r="M15" i="1"/>
  <c r="O14" i="1"/>
  <c r="N14" i="1"/>
  <c r="M14" i="1"/>
  <c r="O13" i="1"/>
  <c r="N13" i="1"/>
  <c r="M13" i="1"/>
  <c r="O12" i="1"/>
  <c r="N12" i="1"/>
  <c r="M12" i="1"/>
  <c r="O11" i="1"/>
  <c r="N11" i="1"/>
  <c r="M11" i="1"/>
  <c r="O10" i="1"/>
  <c r="N10" i="1"/>
  <c r="M10" i="1"/>
  <c r="O9" i="1"/>
  <c r="N9" i="1"/>
  <c r="M9" i="1"/>
  <c r="O8" i="1"/>
  <c r="N8" i="1"/>
  <c r="M8" i="1"/>
  <c r="O7" i="1"/>
  <c r="N7" i="1"/>
  <c r="M7" i="1"/>
  <c r="O6" i="1"/>
  <c r="N6" i="1"/>
  <c r="M6" i="1"/>
  <c r="O5" i="1"/>
  <c r="N5" i="1"/>
  <c r="M5" i="1"/>
  <c r="O4" i="1"/>
  <c r="N4" i="1"/>
  <c r="M4" i="1"/>
  <c r="O3" i="1"/>
  <c r="N3" i="1"/>
  <c r="M3" i="1"/>
  <c r="O2" i="1"/>
  <c r="N2" i="1"/>
  <c r="M2" i="1"/>
  <c r="E3" i="4"/>
  <c r="H3" i="4"/>
  <c r="G3" i="4"/>
  <c r="F3" i="4"/>
</calcChain>
</file>

<file path=xl/sharedStrings.xml><?xml version="1.0" encoding="utf-8"?>
<sst xmlns="http://schemas.openxmlformats.org/spreadsheetml/2006/main" count="1574" uniqueCount="74">
  <si>
    <t>Patient_ID</t>
  </si>
  <si>
    <t>Visit_Date</t>
  </si>
  <si>
    <t>Sex</t>
  </si>
  <si>
    <t>Age</t>
  </si>
  <si>
    <t>Ward</t>
  </si>
  <si>
    <t>Diagnosis</t>
  </si>
  <si>
    <t>Hb_g_dL</t>
  </si>
  <si>
    <t>Malaria_Status</t>
  </si>
  <si>
    <t>Temperature_C</t>
  </si>
  <si>
    <t>WBC_x10^9_L</t>
  </si>
  <si>
    <t>Length_of_Stay_Days</t>
  </si>
  <si>
    <t>Outcome</t>
  </si>
  <si>
    <t>Anemia_Status</t>
  </si>
  <si>
    <t>Age_Group</t>
  </si>
  <si>
    <t>Month</t>
  </si>
  <si>
    <t>Female</t>
  </si>
  <si>
    <t>OPD</t>
  </si>
  <si>
    <t>Gastroenteritis</t>
  </si>
  <si>
    <t>Negative</t>
  </si>
  <si>
    <t>Discharged</t>
  </si>
  <si>
    <t>Typhoid</t>
  </si>
  <si>
    <t>Admitted</t>
  </si>
  <si>
    <t>Male</t>
  </si>
  <si>
    <t>Medical Ward</t>
  </si>
  <si>
    <t>UTI</t>
  </si>
  <si>
    <t>Surgical Ward</t>
  </si>
  <si>
    <t>Malaria</t>
  </si>
  <si>
    <t>Referred</t>
  </si>
  <si>
    <t>ER</t>
  </si>
  <si>
    <t>Anemia</t>
  </si>
  <si>
    <t>Antenatal</t>
  </si>
  <si>
    <t>Positive</t>
  </si>
  <si>
    <t>Hypertension</t>
  </si>
  <si>
    <t>ICU</t>
  </si>
  <si>
    <t>Left Against Advice</t>
  </si>
  <si>
    <t>Respiratory infection</t>
  </si>
  <si>
    <t>Diabetes</t>
  </si>
  <si>
    <t>Pediatrics</t>
  </si>
  <si>
    <t>Row Labels</t>
  </si>
  <si>
    <t>Grand Total</t>
  </si>
  <si>
    <t>Count of Patient_ID</t>
  </si>
  <si>
    <t>2025-01</t>
  </si>
  <si>
    <t>2025-02</t>
  </si>
  <si>
    <t>2025-03</t>
  </si>
  <si>
    <t>2025-04</t>
  </si>
  <si>
    <t>2025-05</t>
  </si>
  <si>
    <t>2025-06</t>
  </si>
  <si>
    <t>2025-07</t>
  </si>
  <si>
    <t>2025-08</t>
  </si>
  <si>
    <t>2025-09</t>
  </si>
  <si>
    <t>2025-10</t>
  </si>
  <si>
    <t>2025-11</t>
  </si>
  <si>
    <t>2025-12</t>
  </si>
  <si>
    <t>2026-01</t>
  </si>
  <si>
    <t>2026-02</t>
  </si>
  <si>
    <t>30 and Above</t>
  </si>
  <si>
    <t>Under 30</t>
  </si>
  <si>
    <t>male_HB</t>
  </si>
  <si>
    <t>Female_HB</t>
  </si>
  <si>
    <t>Normal</t>
  </si>
  <si>
    <t>Anemic</t>
  </si>
  <si>
    <t>Total Visits</t>
  </si>
  <si>
    <t xml:space="preserve"> Ward</t>
  </si>
  <si>
    <t>Visits by Wards</t>
  </si>
  <si>
    <t>Percentage of Malaria by Age group</t>
  </si>
  <si>
    <t>Age group</t>
  </si>
  <si>
    <t/>
  </si>
  <si>
    <t>Hemoglobin by Sex</t>
  </si>
  <si>
    <t>Monthly visits</t>
  </si>
  <si>
    <t>Average of Hb_g_dL</t>
  </si>
  <si>
    <t>Total visits</t>
  </si>
  <si>
    <t>Malaria Positivity rate]</t>
  </si>
  <si>
    <t>Anemia Prevalence</t>
  </si>
  <si>
    <t>Average HB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</si>
</sst>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70" formatCode="0.0"/>
  </numFmts>
  <fonts count="8" x14ac:knownFonts="1">
    <font>
      <sz val="11"/>
      <color theme="1"/>
      <name val="Calibri"/>
      <family val="2"/>
      <scheme val="minor"/>
    </font>
    <font>
      <b/>
      <sz val="11"/>
      <color rgb="FFFFFFFF"/>
      <name val="Calibri"/>
    </font>
    <font>
      <sz val="11"/>
      <color theme="1"/>
      <name val="Calibri"/>
      <family val="2"/>
      <scheme val="minor"/>
    </font>
    <font>
      <b/>
      <sz val="12"/>
      <color theme="1"/>
      <name val="Calibri"/>
      <family val="2"/>
      <scheme val="minor"/>
    </font>
    <font>
      <b/>
      <sz val="11"/>
      <color theme="1"/>
      <name val="Calibri"/>
      <family val="2"/>
      <scheme val="minor"/>
    </font>
    <font>
      <b/>
      <sz val="26"/>
      <color theme="1"/>
      <name val="Calibri"/>
      <family val="2"/>
      <scheme val="minor"/>
    </font>
    <font>
      <b/>
      <sz val="24"/>
      <color theme="1"/>
      <name val="Calibri"/>
      <family val="2"/>
      <scheme val="minor"/>
    </font>
    <font>
      <b/>
      <sz val="36"/>
      <color theme="1"/>
      <name val="Calibri"/>
      <family val="2"/>
      <scheme val="minor"/>
    </font>
  </fonts>
  <fills count="4">
    <fill>
      <patternFill patternType="none"/>
    </fill>
    <fill>
      <patternFill patternType="gray125"/>
    </fill>
    <fill>
      <patternFill patternType="solid">
        <fgColor rgb="FF1F4E79"/>
      </patternFill>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2" borderId="0" xfId="0" applyFont="1" applyFill="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9" fontId="0" fillId="0" borderId="0" xfId="0" applyNumberFormat="1"/>
    <xf numFmtId="2" fontId="0" fillId="0" borderId="0" xfId="0" applyNumberFormat="1"/>
    <xf numFmtId="170" fontId="0" fillId="0" borderId="0" xfId="0" applyNumberFormat="1"/>
    <xf numFmtId="0" fontId="0" fillId="0" borderId="0" xfId="0" applyFont="1"/>
    <xf numFmtId="9" fontId="6" fillId="0" borderId="0" xfId="1" applyFont="1"/>
    <xf numFmtId="170" fontId="5" fillId="0" borderId="0" xfId="0" applyNumberFormat="1" applyFont="1"/>
    <xf numFmtId="9" fontId="7" fillId="3" borderId="1" xfId="1" applyFont="1" applyFill="1" applyBorder="1"/>
    <xf numFmtId="170" fontId="7" fillId="3" borderId="1" xfId="0" applyNumberFormat="1" applyFont="1" applyFill="1" applyBorder="1" applyAlignment="1">
      <alignment horizontal="center"/>
    </xf>
    <xf numFmtId="0" fontId="7" fillId="3" borderId="1" xfId="0" applyFont="1" applyFill="1" applyBorder="1" applyAlignment="1">
      <alignment horizontal="center" vertical="center"/>
    </xf>
    <xf numFmtId="0" fontId="3" fillId="0" borderId="0" xfId="0" applyFont="1" applyAlignment="1">
      <alignment horizontal="center"/>
    </xf>
    <xf numFmtId="0" fontId="3" fillId="0" borderId="0" xfId="0" applyFont="1" applyAlignment="1">
      <alignment vertical="center"/>
    </xf>
    <xf numFmtId="0" fontId="4" fillId="0" borderId="0" xfId="0" applyFont="1" applyAlignment="1">
      <alignment horizontal="center"/>
    </xf>
  </cellXfs>
  <cellStyles count="2">
    <cellStyle name="Normal" xfId="0" builtinId="0"/>
    <cellStyle name="Percent" xfId="1" builtinId="5"/>
  </cellStyles>
  <dxfs count="13">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0" formatCode="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operational dashboard (Excel).xlsx]Pivots!PivotTable1</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Visits by Ward</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Pivots!$A$4:$A$11</c:f>
              <c:strCache>
                <c:ptCount val="7"/>
                <c:pt idx="0">
                  <c:v>Antenatal</c:v>
                </c:pt>
                <c:pt idx="1">
                  <c:v>ER</c:v>
                </c:pt>
                <c:pt idx="2">
                  <c:v>ICU</c:v>
                </c:pt>
                <c:pt idx="3">
                  <c:v>Medical Ward</c:v>
                </c:pt>
                <c:pt idx="4">
                  <c:v>OPD</c:v>
                </c:pt>
                <c:pt idx="5">
                  <c:v>Pediatrics</c:v>
                </c:pt>
                <c:pt idx="6">
                  <c:v>Surgical Ward</c:v>
                </c:pt>
              </c:strCache>
            </c:strRef>
          </c:cat>
          <c:val>
            <c:numRef>
              <c:f>Pivots!$B$4:$B$11</c:f>
              <c:numCache>
                <c:formatCode>General</c:formatCode>
                <c:ptCount val="7"/>
                <c:pt idx="0">
                  <c:v>24</c:v>
                </c:pt>
                <c:pt idx="1">
                  <c:v>56</c:v>
                </c:pt>
                <c:pt idx="2">
                  <c:v>23</c:v>
                </c:pt>
                <c:pt idx="3">
                  <c:v>50</c:v>
                </c:pt>
                <c:pt idx="4">
                  <c:v>78</c:v>
                </c:pt>
                <c:pt idx="5">
                  <c:v>23</c:v>
                </c:pt>
                <c:pt idx="6">
                  <c:v>46</c:v>
                </c:pt>
              </c:numCache>
            </c:numRef>
          </c:val>
          <c:extLst>
            <c:ext xmlns:c16="http://schemas.microsoft.com/office/drawing/2014/chart" uri="{C3380CC4-5D6E-409C-BE32-E72D297353CC}">
              <c16:uniqueId val="{00000000-F9E3-7F4C-8ED9-ABD090345F9A}"/>
            </c:ext>
          </c:extLst>
        </c:ser>
        <c:dLbls>
          <c:dLblPos val="inEnd"/>
          <c:showLegendKey val="0"/>
          <c:showVal val="1"/>
          <c:showCatName val="0"/>
          <c:showSerName val="0"/>
          <c:showPercent val="0"/>
          <c:showBubbleSize val="0"/>
        </c:dLbls>
        <c:gapWidth val="41"/>
        <c:axId val="89944320"/>
        <c:axId val="89934464"/>
      </c:barChart>
      <c:catAx>
        <c:axId val="8994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9934464"/>
        <c:crosses val="autoZero"/>
        <c:auto val="1"/>
        <c:lblAlgn val="ctr"/>
        <c:lblOffset val="100"/>
        <c:noMultiLvlLbl val="0"/>
      </c:catAx>
      <c:valAx>
        <c:axId val="89934464"/>
        <c:scaling>
          <c:orientation val="minMax"/>
        </c:scaling>
        <c:delete val="1"/>
        <c:axPos val="l"/>
        <c:numFmt formatCode="General" sourceLinked="1"/>
        <c:majorTickMark val="none"/>
        <c:minorTickMark val="none"/>
        <c:tickLblPos val="nextTo"/>
        <c:crossAx val="8994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operational dashboard (Excel).xlsx]Pivots!PivotTable5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926829268292683E-2"/>
          <c:y val="0.18072289156626506"/>
          <c:w val="0.68395794275715538"/>
          <c:h val="0.74622489959839355"/>
        </c:manualLayout>
      </c:layout>
      <c:barChart>
        <c:barDir val="col"/>
        <c:grouping val="percentStacked"/>
        <c:varyColors val="0"/>
        <c:ser>
          <c:idx val="0"/>
          <c:order val="0"/>
          <c:tx>
            <c:strRef>
              <c:f>Pivots!$E$3:$E$4</c:f>
              <c:strCache>
                <c:ptCount val="1"/>
                <c:pt idx="0">
                  <c:v>Negative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Pivots!$D$5:$D$7</c:f>
              <c:strCache>
                <c:ptCount val="2"/>
                <c:pt idx="0">
                  <c:v>30 and Above</c:v>
                </c:pt>
                <c:pt idx="1">
                  <c:v>Under 30</c:v>
                </c:pt>
              </c:strCache>
            </c:strRef>
          </c:cat>
          <c:val>
            <c:numRef>
              <c:f>Pivots!$E$5:$E$7</c:f>
              <c:numCache>
                <c:formatCode>0%</c:formatCode>
                <c:ptCount val="2"/>
                <c:pt idx="0">
                  <c:v>0.77358490566037741</c:v>
                </c:pt>
                <c:pt idx="1">
                  <c:v>0.64948453608247425</c:v>
                </c:pt>
              </c:numCache>
            </c:numRef>
          </c:val>
          <c:extLst>
            <c:ext xmlns:c16="http://schemas.microsoft.com/office/drawing/2014/chart" uri="{C3380CC4-5D6E-409C-BE32-E72D297353CC}">
              <c16:uniqueId val="{00000000-B3D3-4149-A797-7B9E2D427B62}"/>
            </c:ext>
          </c:extLst>
        </c:ser>
        <c:ser>
          <c:idx val="1"/>
          <c:order val="1"/>
          <c:tx>
            <c:strRef>
              <c:f>Pivots!$F$3:$F$4</c:f>
              <c:strCache>
                <c:ptCount val="1"/>
                <c:pt idx="0">
                  <c:v>Positive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Pivots!$D$5:$D$7</c:f>
              <c:strCache>
                <c:ptCount val="2"/>
                <c:pt idx="0">
                  <c:v>30 and Above</c:v>
                </c:pt>
                <c:pt idx="1">
                  <c:v>Under 30</c:v>
                </c:pt>
              </c:strCache>
            </c:strRef>
          </c:cat>
          <c:val>
            <c:numRef>
              <c:f>Pivots!$F$5:$F$7</c:f>
              <c:numCache>
                <c:formatCode>0%</c:formatCode>
                <c:ptCount val="2"/>
                <c:pt idx="0">
                  <c:v>0.22641509433962265</c:v>
                </c:pt>
                <c:pt idx="1">
                  <c:v>0.35051546391752575</c:v>
                </c:pt>
              </c:numCache>
            </c:numRef>
          </c:val>
          <c:extLst>
            <c:ext xmlns:c16="http://schemas.microsoft.com/office/drawing/2014/chart" uri="{C3380CC4-5D6E-409C-BE32-E72D297353CC}">
              <c16:uniqueId val="{00000009-B3D3-4149-A797-7B9E2D427B62}"/>
            </c:ext>
          </c:extLst>
        </c:ser>
        <c:dLbls>
          <c:dLblPos val="ctr"/>
          <c:showLegendKey val="0"/>
          <c:showVal val="1"/>
          <c:showCatName val="0"/>
          <c:showSerName val="0"/>
          <c:showPercent val="0"/>
          <c:showBubbleSize val="0"/>
        </c:dLbls>
        <c:gapWidth val="150"/>
        <c:overlap val="100"/>
        <c:axId val="99777856"/>
        <c:axId val="150944192"/>
      </c:barChart>
      <c:catAx>
        <c:axId val="997778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944192"/>
        <c:crosses val="autoZero"/>
        <c:auto val="1"/>
        <c:lblAlgn val="ctr"/>
        <c:lblOffset val="100"/>
        <c:noMultiLvlLbl val="0"/>
      </c:catAx>
      <c:valAx>
        <c:axId val="1509441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997778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operational dashboard (Excel).xlsx]Pivots!PivotTable7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Pivots!$A$20:$A$34</c:f>
              <c:strCache>
                <c:ptCount val="1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strCache>
            </c:strRef>
          </c:cat>
          <c:val>
            <c:numRef>
              <c:f>Pivots!$B$20:$B$34</c:f>
              <c:numCache>
                <c:formatCode>General</c:formatCode>
                <c:ptCount val="14"/>
                <c:pt idx="0">
                  <c:v>25</c:v>
                </c:pt>
                <c:pt idx="1">
                  <c:v>20</c:v>
                </c:pt>
                <c:pt idx="2">
                  <c:v>22</c:v>
                </c:pt>
                <c:pt idx="3">
                  <c:v>25</c:v>
                </c:pt>
                <c:pt idx="4">
                  <c:v>25</c:v>
                </c:pt>
                <c:pt idx="5">
                  <c:v>26</c:v>
                </c:pt>
                <c:pt idx="6">
                  <c:v>19</c:v>
                </c:pt>
                <c:pt idx="7">
                  <c:v>23</c:v>
                </c:pt>
                <c:pt idx="8">
                  <c:v>16</c:v>
                </c:pt>
                <c:pt idx="9">
                  <c:v>17</c:v>
                </c:pt>
                <c:pt idx="10">
                  <c:v>21</c:v>
                </c:pt>
                <c:pt idx="11">
                  <c:v>24</c:v>
                </c:pt>
                <c:pt idx="12">
                  <c:v>15</c:v>
                </c:pt>
                <c:pt idx="13">
                  <c:v>22</c:v>
                </c:pt>
              </c:numCache>
            </c:numRef>
          </c:val>
          <c:smooth val="0"/>
          <c:extLst>
            <c:ext xmlns:c16="http://schemas.microsoft.com/office/drawing/2014/chart" uri="{C3380CC4-5D6E-409C-BE32-E72D297353CC}">
              <c16:uniqueId val="{00000000-ACD2-234F-B432-0FF22D15B35C}"/>
            </c:ext>
          </c:extLst>
        </c:ser>
        <c:dLbls>
          <c:dLblPos val="ctr"/>
          <c:showLegendKey val="0"/>
          <c:showVal val="1"/>
          <c:showCatName val="0"/>
          <c:showSerName val="0"/>
          <c:showPercent val="0"/>
          <c:showBubbleSize val="0"/>
        </c:dLbls>
        <c:marker val="1"/>
        <c:smooth val="0"/>
        <c:axId val="64831936"/>
        <c:axId val="64845824"/>
      </c:lineChart>
      <c:catAx>
        <c:axId val="648319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845824"/>
        <c:crosses val="autoZero"/>
        <c:auto val="1"/>
        <c:lblAlgn val="ctr"/>
        <c:lblOffset val="100"/>
        <c:noMultiLvlLbl val="0"/>
      </c:catAx>
      <c:valAx>
        <c:axId val="648458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48319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Hemoglobin Distribution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Georgia" panose="02040502050405020303" pitchFamily="18" charset="0"/>
            </a:rPr>
            <a:t>Hemoglobin Distribution</a:t>
          </a:r>
        </a:p>
      </cx:txPr>
    </cx:title>
    <cx:plotArea>
      <cx:plotAreaRegion>
        <cx:plotSurface>
          <cx:spPr>
            <a:ln>
              <a:noFill/>
            </a:ln>
          </cx:spPr>
        </cx:plotSurface>
        <cx:series layoutId="clusteredColumn" uniqueId="{44D26425-2DDA-064E-8C34-DDC6C5CFDA35}">
          <cx:tx>
            <cx:txData>
              <cx:f>_xlchart.v1.0</cx:f>
              <cx:v>Hb_g_dL</cx:v>
            </cx:txData>
          </cx:tx>
          <cx:dataLabels pos="inEnd">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88900</xdr:rowOff>
    </xdr:from>
    <xdr:to>
      <xdr:col>5</xdr:col>
      <xdr:colOff>444500</xdr:colOff>
      <xdr:row>20</xdr:row>
      <xdr:rowOff>165100</xdr:rowOff>
    </xdr:to>
    <xdr:graphicFrame macro="">
      <xdr:nvGraphicFramePr>
        <xdr:cNvPr id="2" name="Chart 1">
          <a:extLst>
            <a:ext uri="{FF2B5EF4-FFF2-40B4-BE49-F238E27FC236}">
              <a16:creationId xmlns:a16="http://schemas.microsoft.com/office/drawing/2014/main" id="{F2F1447F-FD07-AE4C-A738-E5D2039EE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812800</xdr:colOff>
      <xdr:row>6</xdr:row>
      <xdr:rowOff>101600</xdr:rowOff>
    </xdr:from>
    <xdr:to>
      <xdr:col>11</xdr:col>
      <xdr:colOff>558800</xdr:colOff>
      <xdr:row>23</xdr:row>
      <xdr:rowOff>25400</xdr:rowOff>
    </xdr:to>
    <xdr:graphicFrame macro="">
      <xdr:nvGraphicFramePr>
        <xdr:cNvPr id="3" name="Chart 2">
          <a:extLst>
            <a:ext uri="{FF2B5EF4-FFF2-40B4-BE49-F238E27FC236}">
              <a16:creationId xmlns:a16="http://schemas.microsoft.com/office/drawing/2014/main" id="{0656E5E3-6D96-D940-8309-151A24124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76200</xdr:rowOff>
    </xdr:from>
    <xdr:to>
      <xdr:col>5</xdr:col>
      <xdr:colOff>444500</xdr:colOff>
      <xdr:row>39</xdr:row>
      <xdr:rowOff>152400</xdr:rowOff>
    </xdr:to>
    <xdr:graphicFrame macro="">
      <xdr:nvGraphicFramePr>
        <xdr:cNvPr id="4" name="Chart 3">
          <a:extLst>
            <a:ext uri="{FF2B5EF4-FFF2-40B4-BE49-F238E27FC236}">
              <a16:creationId xmlns:a16="http://schemas.microsoft.com/office/drawing/2014/main" id="{1809EC05-18AB-A145-B867-2EA2009A1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26</xdr:row>
      <xdr:rowOff>101600</xdr:rowOff>
    </xdr:from>
    <xdr:to>
      <xdr:col>11</xdr:col>
      <xdr:colOff>444500</xdr:colOff>
      <xdr:row>40</xdr:row>
      <xdr:rowOff>177800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5240607-AFF6-3240-8E7C-D40E9166AB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794500" y="5054600"/>
              <a:ext cx="60198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190500</xdr:colOff>
      <xdr:row>42</xdr:row>
      <xdr:rowOff>50801</xdr:rowOff>
    </xdr:from>
    <xdr:to>
      <xdr:col>3</xdr:col>
      <xdr:colOff>177800</xdr:colOff>
      <xdr:row>46</xdr:row>
      <xdr:rowOff>152401</xdr:rowOff>
    </xdr:to>
    <mc:AlternateContent xmlns:mc="http://schemas.openxmlformats.org/markup-compatibility/2006">
      <mc:Choice xmlns:a14="http://schemas.microsoft.com/office/drawing/2010/main" Requires="a14">
        <xdr:graphicFrame macro="">
          <xdr:nvGraphicFramePr>
            <xdr:cNvPr id="7" name="Outcome">
              <a:extLst>
                <a:ext uri="{FF2B5EF4-FFF2-40B4-BE49-F238E27FC236}">
                  <a16:creationId xmlns:a16="http://schemas.microsoft.com/office/drawing/2014/main" id="{2A22AD2B-1113-0446-8A89-65C230003EC7}"/>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dr:sp macro="" textlink="">
          <xdr:nvSpPr>
            <xdr:cNvPr id="0" name=""/>
            <xdr:cNvSpPr>
              <a:spLocks noTextEdit="1"/>
            </xdr:cNvSpPr>
          </xdr:nvSpPr>
          <xdr:spPr>
            <a:xfrm>
              <a:off x="920750" y="8480426"/>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660400</xdr:colOff>
      <xdr:row>42</xdr:row>
      <xdr:rowOff>114301</xdr:rowOff>
    </xdr:from>
    <xdr:to>
      <xdr:col>4</xdr:col>
      <xdr:colOff>749300</xdr:colOff>
      <xdr:row>50</xdr:row>
      <xdr:rowOff>76201</xdr:rowOff>
    </xdr:to>
    <mc:AlternateContent xmlns:mc="http://schemas.openxmlformats.org/markup-compatibility/2006">
      <mc:Choice xmlns:a14="http://schemas.microsoft.com/office/drawing/2010/main" Requires="a14">
        <xdr:graphicFrame macro="">
          <xdr:nvGraphicFramePr>
            <xdr:cNvPr id="8" name="Ward">
              <a:extLst>
                <a:ext uri="{FF2B5EF4-FFF2-40B4-BE49-F238E27FC236}">
                  <a16:creationId xmlns:a16="http://schemas.microsoft.com/office/drawing/2014/main" id="{313F4794-F256-024D-8EF7-313DFA05D1DF}"/>
                </a:ext>
              </a:extLst>
            </xdr:cNvPr>
            <xdr:cNvGraphicFramePr/>
          </xdr:nvGraphicFramePr>
          <xdr:xfrm>
            <a:off x="0" y="0"/>
            <a:ext cx="0" cy="0"/>
          </xdr:xfrm>
          <a:graphic>
            <a:graphicData uri="http://schemas.microsoft.com/office/drawing/2010/slicer">
              <sle:slicer xmlns:sle="http://schemas.microsoft.com/office/drawing/2010/slicer" name="Ward"/>
            </a:graphicData>
          </a:graphic>
        </xdr:graphicFrame>
      </mc:Choice>
      <mc:Fallback>
        <xdr:sp macro="" textlink="">
          <xdr:nvSpPr>
            <xdr:cNvPr id="0" name=""/>
            <xdr:cNvSpPr>
              <a:spLocks noTextEdit="1"/>
            </xdr:cNvSpPr>
          </xdr:nvSpPr>
          <xdr:spPr>
            <a:xfrm>
              <a:off x="3232150" y="8543926"/>
              <a:ext cx="1835150" cy="213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673100</xdr:colOff>
      <xdr:row>42</xdr:row>
      <xdr:rowOff>241301</xdr:rowOff>
    </xdr:from>
    <xdr:to>
      <xdr:col>8</xdr:col>
      <xdr:colOff>469900</xdr:colOff>
      <xdr:row>45</xdr:row>
      <xdr:rowOff>25401</xdr:rowOff>
    </xdr:to>
    <mc:AlternateContent xmlns:mc="http://schemas.openxmlformats.org/markup-compatibility/2006">
      <mc:Choice xmlns:a14="http://schemas.microsoft.com/office/drawing/2010/main" Requires="a14">
        <xdr:graphicFrame macro="">
          <xdr:nvGraphicFramePr>
            <xdr:cNvPr id="9" name="Sex">
              <a:extLst>
                <a:ext uri="{FF2B5EF4-FFF2-40B4-BE49-F238E27FC236}">
                  <a16:creationId xmlns:a16="http://schemas.microsoft.com/office/drawing/2014/main" id="{D83F5DE6-66FE-8C4C-888E-23609058E084}"/>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7150100" y="8670926"/>
              <a:ext cx="1828800" cy="100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914400</xdr:colOff>
      <xdr:row>42</xdr:row>
      <xdr:rowOff>177801</xdr:rowOff>
    </xdr:from>
    <xdr:to>
      <xdr:col>6</xdr:col>
      <xdr:colOff>584200</xdr:colOff>
      <xdr:row>45</xdr:row>
      <xdr:rowOff>25401</xdr:rowOff>
    </xdr:to>
    <mc:AlternateContent xmlns:mc="http://schemas.openxmlformats.org/markup-compatibility/2006">
      <mc:Choice xmlns:a14="http://schemas.microsoft.com/office/drawing/2010/main" Requires="a14">
        <xdr:graphicFrame macro="">
          <xdr:nvGraphicFramePr>
            <xdr:cNvPr id="10" name="Malaria_Status">
              <a:extLst>
                <a:ext uri="{FF2B5EF4-FFF2-40B4-BE49-F238E27FC236}">
                  <a16:creationId xmlns:a16="http://schemas.microsoft.com/office/drawing/2014/main" id="{62856CEE-185E-2A40-980F-D6E03DBA6EF9}"/>
                </a:ext>
              </a:extLst>
            </xdr:cNvPr>
            <xdr:cNvGraphicFramePr/>
          </xdr:nvGraphicFramePr>
          <xdr:xfrm>
            <a:off x="0" y="0"/>
            <a:ext cx="0" cy="0"/>
          </xdr:xfrm>
          <a:graphic>
            <a:graphicData uri="http://schemas.microsoft.com/office/drawing/2010/slicer">
              <sle:slicer xmlns:sle="http://schemas.microsoft.com/office/drawing/2010/slicer" name="Malaria_Status"/>
            </a:graphicData>
          </a:graphic>
        </xdr:graphicFrame>
      </mc:Choice>
      <mc:Fallback>
        <xdr:sp macro="" textlink="">
          <xdr:nvSpPr>
            <xdr:cNvPr id="0" name=""/>
            <xdr:cNvSpPr>
              <a:spLocks noTextEdit="1"/>
            </xdr:cNvSpPr>
          </xdr:nvSpPr>
          <xdr:spPr>
            <a:xfrm>
              <a:off x="5232400" y="8607426"/>
              <a:ext cx="1828800" cy="1069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762000</xdr:colOff>
      <xdr:row>42</xdr:row>
      <xdr:rowOff>254000</xdr:rowOff>
    </xdr:from>
    <xdr:to>
      <xdr:col>11</xdr:col>
      <xdr:colOff>596900</xdr:colOff>
      <xdr:row>46</xdr:row>
      <xdr:rowOff>165100</xdr:rowOff>
    </xdr:to>
    <mc:AlternateContent xmlns:mc="http://schemas.openxmlformats.org/markup-compatibility/2006">
      <mc:Choice xmlns:tsle="http://schemas.microsoft.com/office/drawing/2012/timeslicer" Requires="tsle">
        <xdr:graphicFrame macro="">
          <xdr:nvGraphicFramePr>
            <xdr:cNvPr id="11" name="Visit_Date">
              <a:extLst>
                <a:ext uri="{FF2B5EF4-FFF2-40B4-BE49-F238E27FC236}">
                  <a16:creationId xmlns:a16="http://schemas.microsoft.com/office/drawing/2014/main" id="{77AB0520-EF89-D640-9563-947AD9A89B9E}"/>
                </a:ext>
              </a:extLst>
            </xdr:cNvPr>
            <xdr:cNvGraphicFramePr/>
          </xdr:nvGraphicFramePr>
          <xdr:xfrm>
            <a:off x="0" y="0"/>
            <a:ext cx="0" cy="0"/>
          </xdr:xfrm>
          <a:graphic>
            <a:graphicData uri="http://schemas.microsoft.com/office/drawing/2012/timeslicer">
              <tsle:timeslicer xmlns:tsle="http://schemas.microsoft.com/office/drawing/2012/timeslicer" name="Visit_Date"/>
            </a:graphicData>
          </a:graphic>
        </xdr:graphicFrame>
      </mc:Choice>
      <mc:Fallback>
        <xdr:sp macro="" textlink="">
          <xdr:nvSpPr>
            <xdr:cNvPr id="0" name=""/>
            <xdr:cNvSpPr>
              <a:spLocks noTextEdit="1"/>
            </xdr:cNvSpPr>
          </xdr:nvSpPr>
          <xdr:spPr>
            <a:xfrm>
              <a:off x="9271000" y="8683625"/>
              <a:ext cx="3327400" cy="13239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 refreshedDate="46086.723591435184" createdVersion="8" refreshedVersion="8" minRefreshableVersion="3" recordCount="300" xr:uid="{06BC2D46-265E-354D-8747-1F5B69D1C873}">
  <cacheSource type="worksheet">
    <worksheetSource name="ClinicData"/>
  </cacheSource>
  <cacheFields count="15">
    <cacheField name="Patient_ID" numFmtId="0">
      <sharedItems containsSemiMixedTypes="0" containsString="0" containsNumber="1" containsInteger="1" minValue="1001" maxValue="1300"/>
    </cacheField>
    <cacheField name="Visit_Date" numFmtId="164">
      <sharedItems containsSemiMixedTypes="0" containsNonDate="0" containsDate="1" containsString="0" minDate="2025-01-01T00:00:00" maxDate="2026-03-01T00:00:00" count="207">
        <d v="2025-06-15T00:00:00"/>
        <d v="2025-02-16T00:00:00"/>
        <d v="2025-03-10T00:00:00"/>
        <d v="2025-02-02T00:00:00"/>
        <d v="2025-10-22T00:00:00"/>
        <d v="2025-02-09T00:00:00"/>
        <d v="2025-02-01T00:00:00"/>
        <d v="2025-01-31T00:00:00"/>
        <d v="2025-08-01T00:00:00"/>
        <d v="2025-01-03T00:00:00"/>
        <d v="2026-02-04T00:00:00"/>
        <d v="2025-06-24T00:00:00"/>
        <d v="2025-08-31T00:00:00"/>
        <d v="2025-07-05T00:00:00"/>
        <d v="2025-04-25T00:00:00"/>
        <d v="2025-04-13T00:00:00"/>
        <d v="2025-07-06T00:00:00"/>
        <d v="2025-06-26T00:00:00"/>
        <d v="2026-01-05T00:00:00"/>
        <d v="2025-06-29T00:00:00"/>
        <d v="2025-04-19T00:00:00"/>
        <d v="2026-02-28T00:00:00"/>
        <d v="2025-05-13T00:00:00"/>
        <d v="2026-02-06T00:00:00"/>
        <d v="2025-12-08T00:00:00"/>
        <d v="2025-12-27T00:00:00"/>
        <d v="2026-02-03T00:00:00"/>
        <d v="2025-01-30T00:00:00"/>
        <d v="2025-06-23T00:00:00"/>
        <d v="2025-04-16T00:00:00"/>
        <d v="2025-08-17T00:00:00"/>
        <d v="2025-12-28T00:00:00"/>
        <d v="2025-09-17T00:00:00"/>
        <d v="2025-01-18T00:00:00"/>
        <d v="2026-02-23T00:00:00"/>
        <d v="2025-12-25T00:00:00"/>
        <d v="2025-11-23T00:00:00"/>
        <d v="2026-01-19T00:00:00"/>
        <d v="2025-08-24T00:00:00"/>
        <d v="2025-11-15T00:00:00"/>
        <d v="2025-06-09T00:00:00"/>
        <d v="2025-09-09T00:00:00"/>
        <d v="2026-01-01T00:00:00"/>
        <d v="2025-01-27T00:00:00"/>
        <d v="2025-10-11T00:00:00"/>
        <d v="2025-09-14T00:00:00"/>
        <d v="2025-06-13T00:00:00"/>
        <d v="2025-09-28T00:00:00"/>
        <d v="2025-08-23T00:00:00"/>
        <d v="2025-02-27T00:00:00"/>
        <d v="2025-05-05T00:00:00"/>
        <d v="2025-07-09T00:00:00"/>
        <d v="2026-02-24T00:00:00"/>
        <d v="2025-03-16T00:00:00"/>
        <d v="2025-06-18T00:00:00"/>
        <d v="2025-04-09T00:00:00"/>
        <d v="2026-01-18T00:00:00"/>
        <d v="2026-02-17T00:00:00"/>
        <d v="2025-03-09T00:00:00"/>
        <d v="2026-01-21T00:00:00"/>
        <d v="2025-09-13T00:00:00"/>
        <d v="2025-05-31T00:00:00"/>
        <d v="2025-05-06T00:00:00"/>
        <d v="2025-03-03T00:00:00"/>
        <d v="2025-11-14T00:00:00"/>
        <d v="2025-07-29T00:00:00"/>
        <d v="2025-03-25T00:00:00"/>
        <d v="2025-07-27T00:00:00"/>
        <d v="2025-10-10T00:00:00"/>
        <d v="2025-04-11T00:00:00"/>
        <d v="2025-10-15T00:00:00"/>
        <d v="2025-08-06T00:00:00"/>
        <d v="2026-02-19T00:00:00"/>
        <d v="2026-01-04T00:00:00"/>
        <d v="2025-04-10T00:00:00"/>
        <d v="2025-05-21T00:00:00"/>
        <d v="2025-05-23T00:00:00"/>
        <d v="2025-12-19T00:00:00"/>
        <d v="2026-01-16T00:00:00"/>
        <d v="2025-11-17T00:00:00"/>
        <d v="2025-06-04T00:00:00"/>
        <d v="2025-01-06T00:00:00"/>
        <d v="2025-11-28T00:00:00"/>
        <d v="2025-08-12T00:00:00"/>
        <d v="2025-05-15T00:00:00"/>
        <d v="2025-05-01T00:00:00"/>
        <d v="2025-10-02T00:00:00"/>
        <d v="2025-03-29T00:00:00"/>
        <d v="2025-02-03T00:00:00"/>
        <d v="2025-05-14T00:00:00"/>
        <d v="2026-02-08T00:00:00"/>
        <d v="2025-04-14T00:00:00"/>
        <d v="2025-03-23T00:00:00"/>
        <d v="2025-02-18T00:00:00"/>
        <d v="2025-03-28T00:00:00"/>
        <d v="2025-11-13T00:00:00"/>
        <d v="2025-04-28T00:00:00"/>
        <d v="2025-08-03T00:00:00"/>
        <d v="2025-09-20T00:00:00"/>
        <d v="2025-11-11T00:00:00"/>
        <d v="2025-04-26T00:00:00"/>
        <d v="2025-05-17T00:00:00"/>
        <d v="2025-02-13T00:00:00"/>
        <d v="2025-02-06T00:00:00"/>
        <d v="2025-03-02T00:00:00"/>
        <d v="2025-06-14T00:00:00"/>
        <d v="2026-01-13T00:00:00"/>
        <d v="2025-05-20T00:00:00"/>
        <d v="2025-11-12T00:00:00"/>
        <d v="2025-12-02T00:00:00"/>
        <d v="2025-01-28T00:00:00"/>
        <d v="2025-02-22T00:00:00"/>
        <d v="2025-01-10T00:00:00"/>
        <d v="2025-12-30T00:00:00"/>
        <d v="2025-03-26T00:00:00"/>
        <d v="2025-11-19T00:00:00"/>
        <d v="2025-01-08T00:00:00"/>
        <d v="2025-01-01T00:00:00"/>
        <d v="2026-02-13T00:00:00"/>
        <d v="2025-07-22T00:00:00"/>
        <d v="2025-03-18T00:00:00"/>
        <d v="2025-05-11T00:00:00"/>
        <d v="2025-06-30T00:00:00"/>
        <d v="2026-01-22T00:00:00"/>
        <d v="2025-07-11T00:00:00"/>
        <d v="2025-11-18T00:00:00"/>
        <d v="2025-05-19T00:00:00"/>
        <d v="2025-12-09T00:00:00"/>
        <d v="2025-07-04T00:00:00"/>
        <d v="2025-11-08T00:00:00"/>
        <d v="2025-01-29T00:00:00"/>
        <d v="2025-07-07T00:00:00"/>
        <d v="2025-10-05T00:00:00"/>
        <d v="2025-01-19T00:00:00"/>
        <d v="2025-11-25T00:00:00"/>
        <d v="2025-06-06T00:00:00"/>
        <d v="2025-09-19T00:00:00"/>
        <d v="2025-07-17T00:00:00"/>
        <d v="2025-06-28T00:00:00"/>
        <d v="2025-12-12T00:00:00"/>
        <d v="2025-03-07T00:00:00"/>
        <d v="2025-06-16T00:00:00"/>
        <d v="2026-02-22T00:00:00"/>
        <d v="2025-08-04T00:00:00"/>
        <d v="2025-01-02T00:00:00"/>
        <d v="2025-09-30T00:00:00"/>
        <d v="2025-11-16T00:00:00"/>
        <d v="2025-06-11T00:00:00"/>
        <d v="2025-04-24T00:00:00"/>
        <d v="2025-10-01T00:00:00"/>
        <d v="2025-04-21T00:00:00"/>
        <d v="2025-05-07T00:00:00"/>
        <d v="2025-05-30T00:00:00"/>
        <d v="2025-10-17T00:00:00"/>
        <d v="2025-10-27T00:00:00"/>
        <d v="2025-01-04T00:00:00"/>
        <d v="2025-08-18T00:00:00"/>
        <d v="2026-01-03T00:00:00"/>
        <d v="2025-12-01T00:00:00"/>
        <d v="2025-10-18T00:00:00"/>
        <d v="2025-11-21T00:00:00"/>
        <d v="2025-09-21T00:00:00"/>
        <d v="2025-01-23T00:00:00"/>
        <d v="2025-08-14T00:00:00"/>
        <d v="2025-12-20T00:00:00"/>
        <d v="2025-01-11T00:00:00"/>
        <d v="2025-12-24T00:00:00"/>
        <d v="2025-12-15T00:00:00"/>
        <d v="2026-02-05T00:00:00"/>
        <d v="2025-02-10T00:00:00"/>
        <d v="2025-12-14T00:00:00"/>
        <d v="2025-08-26T00:00:00"/>
        <d v="2025-07-03T00:00:00"/>
        <d v="2025-01-17T00:00:00"/>
        <d v="2025-11-07T00:00:00"/>
        <d v="2025-04-20T00:00:00"/>
        <d v="2025-06-19T00:00:00"/>
        <d v="2025-08-13T00:00:00"/>
        <d v="2026-02-10T00:00:00"/>
        <d v="2025-09-07T00:00:00"/>
        <d v="2025-03-19T00:00:00"/>
        <d v="2025-12-06T00:00:00"/>
        <d v="2025-09-27T00:00:00"/>
        <d v="2025-10-29T00:00:00"/>
        <d v="2025-04-01T00:00:00"/>
        <d v="2025-07-12T00:00:00"/>
        <d v="2025-03-31T00:00:00"/>
        <d v="2025-10-20T00:00:00"/>
        <d v="2026-02-15T00:00:00"/>
        <d v="2026-01-02T00:00:00"/>
        <d v="2026-01-27T00:00:00"/>
        <d v="2025-09-04T00:00:00"/>
        <d v="2025-08-25T00:00:00"/>
        <d v="2025-10-19T00:00:00"/>
        <d v="2025-09-03T00:00:00"/>
        <d v="2025-10-30T00:00:00"/>
        <d v="2025-05-03T00:00:00"/>
        <d v="2025-02-14T00:00:00"/>
        <d v="2025-07-30T00:00:00"/>
        <d v="2025-08-15T00:00:00"/>
        <d v="2025-05-10T00:00:00"/>
        <d v="2025-05-24T00:00:00"/>
        <d v="2025-07-21T00:00:00"/>
        <d v="2025-08-19T00:00:00"/>
        <d v="2025-11-05T00:00:00"/>
        <d v="2026-02-09T00:00:00"/>
        <d v="2025-05-28T00:00:00"/>
      </sharedItems>
    </cacheField>
    <cacheField name="Sex" numFmtId="0">
      <sharedItems count="2">
        <s v="Female"/>
        <s v="Male"/>
      </sharedItems>
    </cacheField>
    <cacheField name="Age" numFmtId="0">
      <sharedItems containsSemiMixedTypes="0" containsString="0" containsNumber="1" containsInteger="1" minValue="1" maxValue="59" count="53">
        <n v="50"/>
        <n v="10"/>
        <n v="2"/>
        <n v="16"/>
        <n v="21"/>
        <n v="36"/>
        <n v="28"/>
        <n v="22"/>
        <n v="20"/>
        <n v="17"/>
        <n v="40"/>
        <n v="8"/>
        <n v="11"/>
        <n v="35"/>
        <n v="56"/>
        <n v="32"/>
        <n v="7"/>
        <n v="18"/>
        <n v="38"/>
        <n v="15"/>
        <n v="25"/>
        <n v="26"/>
        <n v="6"/>
        <n v="29"/>
        <n v="31"/>
        <n v="9"/>
        <n v="14"/>
        <n v="41"/>
        <n v="1"/>
        <n v="42"/>
        <n v="37"/>
        <n v="19"/>
        <n v="24"/>
        <n v="33"/>
        <n v="13"/>
        <n v="23"/>
        <n v="5"/>
        <n v="4"/>
        <n v="3"/>
        <n v="39"/>
        <n v="43"/>
        <n v="30"/>
        <n v="58"/>
        <n v="59"/>
        <n v="27"/>
        <n v="46"/>
        <n v="44"/>
        <n v="45"/>
        <n v="48"/>
        <n v="55"/>
        <n v="12"/>
        <n v="34"/>
        <n v="47"/>
      </sharedItems>
    </cacheField>
    <cacheField name="Ward" numFmtId="0">
      <sharedItems count="7">
        <s v="OPD"/>
        <s v="Medical Ward"/>
        <s v="Surgical Ward"/>
        <s v="ER"/>
        <s v="Antenatal"/>
        <s v="ICU"/>
        <s v="Pediatrics"/>
      </sharedItems>
    </cacheField>
    <cacheField name="Diagnosis" numFmtId="0">
      <sharedItems/>
    </cacheField>
    <cacheField name="Hb_g_dL" numFmtId="0">
      <sharedItems containsSemiMixedTypes="0" containsString="0" containsNumber="1" minValue="5.5" maxValue="17.7" count="82">
        <n v="13.2"/>
        <n v="14.3"/>
        <n v="16.2"/>
        <n v="12.4"/>
        <n v="15.1"/>
        <n v="11.5"/>
        <n v="8.3000000000000007"/>
        <n v="13.1"/>
        <n v="12.9"/>
        <n v="11.9"/>
        <n v="14.6"/>
        <n v="15.2"/>
        <n v="15.3"/>
        <n v="14.8"/>
        <n v="13.4"/>
        <n v="9.6"/>
        <n v="15.7"/>
        <n v="8.8000000000000007"/>
        <n v="11.2"/>
        <n v="12.1"/>
        <n v="11.4"/>
        <n v="13.7"/>
        <n v="11.1"/>
        <n v="12.6"/>
        <n v="10.3"/>
        <n v="12.7"/>
        <n v="12.3"/>
        <n v="7.6"/>
        <n v="12.5"/>
        <n v="13.8"/>
        <n v="14.1"/>
        <n v="14.7"/>
        <n v="10.7"/>
        <n v="14"/>
        <n v="11.8"/>
        <n v="10.6"/>
        <n v="13"/>
        <n v="11.6"/>
        <n v="12.2"/>
        <n v="16.8"/>
        <n v="14.9"/>
        <n v="8.5"/>
        <n v="8"/>
        <n v="14.5"/>
        <n v="13.3"/>
        <n v="10.199999999999999"/>
        <n v="9.9"/>
        <n v="16.100000000000001"/>
        <n v="13.9"/>
        <n v="16.3"/>
        <n v="12"/>
        <n v="13.5"/>
        <n v="10.4"/>
        <n v="11"/>
        <n v="13.6"/>
        <n v="10.8"/>
        <n v="6.2"/>
        <n v="16"/>
        <n v="9.3000000000000007"/>
        <n v="12.8"/>
        <n v="14.2"/>
        <n v="15.9"/>
        <n v="9.4"/>
        <n v="8.6999999999999993"/>
        <n v="10.5"/>
        <n v="11.3"/>
        <n v="17.7"/>
        <n v="15.6"/>
        <n v="10.9"/>
        <n v="8.6"/>
        <n v="14.4"/>
        <n v="9.1999999999999993"/>
        <n v="15.8"/>
        <n v="8.9"/>
        <n v="6.6"/>
        <n v="10"/>
        <n v="15"/>
        <n v="16.399999999999999"/>
        <n v="5.5"/>
        <n v="11.7"/>
        <n v="7"/>
        <n v="7.3"/>
      </sharedItems>
    </cacheField>
    <cacheField name="Malaria_Status" numFmtId="0">
      <sharedItems count="2">
        <s v="Negative"/>
        <s v="Positive"/>
      </sharedItems>
    </cacheField>
    <cacheField name="Temperature_C" numFmtId="0">
      <sharedItems containsSemiMixedTypes="0" containsString="0" containsNumber="1" minValue="35.700000000000003" maxValue="39.9"/>
    </cacheField>
    <cacheField name="WBC_x10^9_L" numFmtId="0">
      <sharedItems containsSemiMixedTypes="0" containsString="0" containsNumber="1" minValue="2.5" maxValue="14.6"/>
    </cacheField>
    <cacheField name="Length_of_Stay_Days" numFmtId="0">
      <sharedItems containsSemiMixedTypes="0" containsString="0" containsNumber="1" containsInteger="1" minValue="0" maxValue="18"/>
    </cacheField>
    <cacheField name="Outcome" numFmtId="0">
      <sharedItems count="4">
        <s v="Discharged"/>
        <s v="Admitted"/>
        <s v="Referred"/>
        <s v="Left Against Advice"/>
      </sharedItems>
    </cacheField>
    <cacheField name="Anemia_Status" numFmtId="0">
      <sharedItems count="2">
        <s v="Normal"/>
        <s v="Anemic"/>
      </sharedItems>
    </cacheField>
    <cacheField name="Age_Group" numFmtId="0">
      <sharedItems count="2">
        <s v="30 and Above"/>
        <s v="Under 30"/>
      </sharedItems>
    </cacheField>
    <cacheField name="Month" numFmtId="0">
      <sharedItems count="14">
        <s v="2025-06"/>
        <s v="2025-02"/>
        <s v="2025-03"/>
        <s v="2025-10"/>
        <s v="2025-01"/>
        <s v="2025-08"/>
        <s v="2026-02"/>
        <s v="2025-07"/>
        <s v="2025-04"/>
        <s v="2026-01"/>
        <s v="2025-05"/>
        <s v="2025-12"/>
        <s v="2025-09"/>
        <s v="2025-11"/>
      </sharedItems>
    </cacheField>
  </cacheFields>
  <extLst>
    <ext xmlns:x14="http://schemas.microsoft.com/office/spreadsheetml/2009/9/main" uri="{725AE2AE-9491-48be-B2B4-4EB974FC3084}">
      <x14:pivotCacheDefinition pivotCacheId="1080109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x v="0"/>
    <x v="0"/>
    <x v="0"/>
    <x v="0"/>
    <s v="Gastroenteritis"/>
    <x v="0"/>
    <x v="0"/>
    <n v="37.1"/>
    <n v="8.4"/>
    <n v="1"/>
    <x v="0"/>
    <x v="0"/>
    <x v="0"/>
    <x v="0"/>
  </r>
  <r>
    <n v="1002"/>
    <x v="1"/>
    <x v="0"/>
    <x v="1"/>
    <x v="0"/>
    <s v="Typhoid"/>
    <x v="1"/>
    <x v="0"/>
    <n v="36.700000000000003"/>
    <n v="2.7"/>
    <n v="0"/>
    <x v="1"/>
    <x v="0"/>
    <x v="1"/>
    <x v="1"/>
  </r>
  <r>
    <n v="1003"/>
    <x v="2"/>
    <x v="1"/>
    <x v="2"/>
    <x v="1"/>
    <s v="UTI"/>
    <x v="2"/>
    <x v="0"/>
    <n v="37.6"/>
    <n v="10.4"/>
    <n v="4"/>
    <x v="0"/>
    <x v="0"/>
    <x v="1"/>
    <x v="2"/>
  </r>
  <r>
    <n v="1004"/>
    <x v="3"/>
    <x v="0"/>
    <x v="3"/>
    <x v="2"/>
    <s v="UTI"/>
    <x v="3"/>
    <x v="0"/>
    <n v="36.700000000000003"/>
    <n v="10"/>
    <n v="3"/>
    <x v="0"/>
    <x v="0"/>
    <x v="1"/>
    <x v="1"/>
  </r>
  <r>
    <n v="1005"/>
    <x v="4"/>
    <x v="1"/>
    <x v="4"/>
    <x v="1"/>
    <s v="Malaria"/>
    <x v="4"/>
    <x v="0"/>
    <n v="37.299999999999997"/>
    <n v="9.1999999999999993"/>
    <n v="8"/>
    <x v="2"/>
    <x v="0"/>
    <x v="1"/>
    <x v="3"/>
  </r>
  <r>
    <n v="1006"/>
    <x v="5"/>
    <x v="0"/>
    <x v="5"/>
    <x v="2"/>
    <s v="Gastroenteritis"/>
    <x v="5"/>
    <x v="0"/>
    <n v="35.9"/>
    <n v="8.6"/>
    <n v="5"/>
    <x v="1"/>
    <x v="1"/>
    <x v="0"/>
    <x v="1"/>
  </r>
  <r>
    <n v="1007"/>
    <x v="6"/>
    <x v="0"/>
    <x v="3"/>
    <x v="3"/>
    <s v="Anemia"/>
    <x v="6"/>
    <x v="0"/>
    <n v="37.5"/>
    <n v="6.7"/>
    <n v="2"/>
    <x v="0"/>
    <x v="1"/>
    <x v="1"/>
    <x v="1"/>
  </r>
  <r>
    <n v="1008"/>
    <x v="7"/>
    <x v="1"/>
    <x v="6"/>
    <x v="4"/>
    <s v="UTI"/>
    <x v="5"/>
    <x v="1"/>
    <n v="37.9"/>
    <n v="9.9"/>
    <n v="7"/>
    <x v="0"/>
    <x v="1"/>
    <x v="1"/>
    <x v="4"/>
  </r>
  <r>
    <n v="1009"/>
    <x v="8"/>
    <x v="0"/>
    <x v="7"/>
    <x v="0"/>
    <s v="Malaria"/>
    <x v="7"/>
    <x v="0"/>
    <n v="38.1"/>
    <n v="7.8"/>
    <n v="0"/>
    <x v="0"/>
    <x v="0"/>
    <x v="1"/>
    <x v="5"/>
  </r>
  <r>
    <n v="1010"/>
    <x v="9"/>
    <x v="1"/>
    <x v="8"/>
    <x v="0"/>
    <s v="Hypertension"/>
    <x v="8"/>
    <x v="0"/>
    <n v="36.4"/>
    <n v="4.5"/>
    <n v="1"/>
    <x v="2"/>
    <x v="0"/>
    <x v="1"/>
    <x v="4"/>
  </r>
  <r>
    <n v="1011"/>
    <x v="10"/>
    <x v="0"/>
    <x v="9"/>
    <x v="3"/>
    <s v="UTI"/>
    <x v="9"/>
    <x v="0"/>
    <n v="37.6"/>
    <n v="14.6"/>
    <n v="1"/>
    <x v="0"/>
    <x v="1"/>
    <x v="1"/>
    <x v="6"/>
  </r>
  <r>
    <n v="1012"/>
    <x v="11"/>
    <x v="0"/>
    <x v="1"/>
    <x v="0"/>
    <s v="Malaria"/>
    <x v="10"/>
    <x v="1"/>
    <n v="38.200000000000003"/>
    <n v="8.5"/>
    <n v="1"/>
    <x v="1"/>
    <x v="0"/>
    <x v="1"/>
    <x v="0"/>
  </r>
  <r>
    <n v="1013"/>
    <x v="12"/>
    <x v="1"/>
    <x v="5"/>
    <x v="5"/>
    <s v="UTI"/>
    <x v="1"/>
    <x v="0"/>
    <n v="37.1"/>
    <n v="7.8"/>
    <n v="3"/>
    <x v="2"/>
    <x v="0"/>
    <x v="0"/>
    <x v="5"/>
  </r>
  <r>
    <n v="1014"/>
    <x v="13"/>
    <x v="1"/>
    <x v="5"/>
    <x v="0"/>
    <s v="UTI"/>
    <x v="11"/>
    <x v="0"/>
    <n v="36.299999999999997"/>
    <n v="8.6"/>
    <n v="0"/>
    <x v="0"/>
    <x v="0"/>
    <x v="0"/>
    <x v="7"/>
  </r>
  <r>
    <n v="1015"/>
    <x v="14"/>
    <x v="0"/>
    <x v="10"/>
    <x v="3"/>
    <s v="Typhoid"/>
    <x v="12"/>
    <x v="0"/>
    <n v="36.9"/>
    <n v="8.9"/>
    <n v="2"/>
    <x v="1"/>
    <x v="0"/>
    <x v="0"/>
    <x v="8"/>
  </r>
  <r>
    <n v="1016"/>
    <x v="15"/>
    <x v="1"/>
    <x v="3"/>
    <x v="0"/>
    <s v="Malaria"/>
    <x v="3"/>
    <x v="1"/>
    <n v="38.9"/>
    <n v="2.6"/>
    <n v="1"/>
    <x v="3"/>
    <x v="0"/>
    <x v="1"/>
    <x v="8"/>
  </r>
  <r>
    <n v="1017"/>
    <x v="16"/>
    <x v="1"/>
    <x v="11"/>
    <x v="0"/>
    <s v="Malaria"/>
    <x v="13"/>
    <x v="0"/>
    <n v="37.9"/>
    <n v="5"/>
    <n v="1"/>
    <x v="2"/>
    <x v="0"/>
    <x v="1"/>
    <x v="7"/>
  </r>
  <r>
    <n v="1018"/>
    <x v="17"/>
    <x v="0"/>
    <x v="12"/>
    <x v="0"/>
    <s v="Respiratory infection"/>
    <x v="14"/>
    <x v="0"/>
    <n v="38.200000000000003"/>
    <n v="5.8"/>
    <n v="0"/>
    <x v="1"/>
    <x v="0"/>
    <x v="1"/>
    <x v="0"/>
  </r>
  <r>
    <n v="1019"/>
    <x v="18"/>
    <x v="1"/>
    <x v="13"/>
    <x v="4"/>
    <s v="Anemia"/>
    <x v="15"/>
    <x v="0"/>
    <n v="37.200000000000003"/>
    <n v="7.9"/>
    <n v="10"/>
    <x v="1"/>
    <x v="1"/>
    <x v="0"/>
    <x v="9"/>
  </r>
  <r>
    <n v="1020"/>
    <x v="19"/>
    <x v="1"/>
    <x v="7"/>
    <x v="0"/>
    <s v="Hypertension"/>
    <x v="16"/>
    <x v="0"/>
    <n v="37.6"/>
    <n v="11.6"/>
    <n v="0"/>
    <x v="1"/>
    <x v="0"/>
    <x v="1"/>
    <x v="0"/>
  </r>
  <r>
    <n v="1021"/>
    <x v="20"/>
    <x v="1"/>
    <x v="14"/>
    <x v="1"/>
    <s v="Anemia"/>
    <x v="17"/>
    <x v="0"/>
    <n v="36.700000000000003"/>
    <n v="7.2"/>
    <n v="10"/>
    <x v="0"/>
    <x v="1"/>
    <x v="0"/>
    <x v="8"/>
  </r>
  <r>
    <n v="1022"/>
    <x v="21"/>
    <x v="0"/>
    <x v="3"/>
    <x v="1"/>
    <s v="UTI"/>
    <x v="18"/>
    <x v="1"/>
    <n v="38.1"/>
    <n v="9.1"/>
    <n v="8"/>
    <x v="0"/>
    <x v="1"/>
    <x v="1"/>
    <x v="6"/>
  </r>
  <r>
    <n v="1023"/>
    <x v="6"/>
    <x v="1"/>
    <x v="4"/>
    <x v="1"/>
    <s v="Hypertension"/>
    <x v="19"/>
    <x v="1"/>
    <n v="37.799999999999997"/>
    <n v="7.9"/>
    <n v="9"/>
    <x v="2"/>
    <x v="0"/>
    <x v="1"/>
    <x v="1"/>
  </r>
  <r>
    <n v="1024"/>
    <x v="3"/>
    <x v="1"/>
    <x v="3"/>
    <x v="1"/>
    <s v="UTI"/>
    <x v="9"/>
    <x v="0"/>
    <n v="37.200000000000003"/>
    <n v="3.5"/>
    <n v="9"/>
    <x v="2"/>
    <x v="1"/>
    <x v="1"/>
    <x v="1"/>
  </r>
  <r>
    <n v="1025"/>
    <x v="22"/>
    <x v="0"/>
    <x v="15"/>
    <x v="0"/>
    <s v="Respiratory infection"/>
    <x v="20"/>
    <x v="0"/>
    <n v="37.299999999999997"/>
    <n v="7.6"/>
    <n v="0"/>
    <x v="1"/>
    <x v="1"/>
    <x v="0"/>
    <x v="10"/>
  </r>
  <r>
    <n v="1026"/>
    <x v="23"/>
    <x v="1"/>
    <x v="9"/>
    <x v="4"/>
    <s v="Gastroenteritis"/>
    <x v="21"/>
    <x v="0"/>
    <n v="37.299999999999997"/>
    <n v="3.9"/>
    <n v="2"/>
    <x v="0"/>
    <x v="0"/>
    <x v="1"/>
    <x v="6"/>
  </r>
  <r>
    <n v="1027"/>
    <x v="24"/>
    <x v="0"/>
    <x v="16"/>
    <x v="5"/>
    <s v="Respiratory infection"/>
    <x v="8"/>
    <x v="0"/>
    <n v="36.799999999999997"/>
    <n v="9.5"/>
    <n v="3"/>
    <x v="0"/>
    <x v="0"/>
    <x v="1"/>
    <x v="11"/>
  </r>
  <r>
    <n v="1028"/>
    <x v="25"/>
    <x v="1"/>
    <x v="17"/>
    <x v="0"/>
    <s v="Diabetes"/>
    <x v="3"/>
    <x v="0"/>
    <n v="37.299999999999997"/>
    <n v="7.3"/>
    <n v="1"/>
    <x v="0"/>
    <x v="0"/>
    <x v="1"/>
    <x v="11"/>
  </r>
  <r>
    <n v="1029"/>
    <x v="26"/>
    <x v="1"/>
    <x v="18"/>
    <x v="2"/>
    <s v="Diabetes"/>
    <x v="22"/>
    <x v="0"/>
    <n v="36.299999999999997"/>
    <n v="6.9"/>
    <n v="8"/>
    <x v="0"/>
    <x v="1"/>
    <x v="0"/>
    <x v="6"/>
  </r>
  <r>
    <n v="1030"/>
    <x v="27"/>
    <x v="0"/>
    <x v="19"/>
    <x v="0"/>
    <s v="Diabetes"/>
    <x v="23"/>
    <x v="0"/>
    <n v="36.799999999999997"/>
    <n v="8"/>
    <n v="0"/>
    <x v="0"/>
    <x v="0"/>
    <x v="1"/>
    <x v="4"/>
  </r>
  <r>
    <n v="1031"/>
    <x v="28"/>
    <x v="0"/>
    <x v="20"/>
    <x v="4"/>
    <s v="Gastroenteritis"/>
    <x v="24"/>
    <x v="1"/>
    <n v="36.6"/>
    <n v="7.4"/>
    <n v="5"/>
    <x v="0"/>
    <x v="1"/>
    <x v="1"/>
    <x v="0"/>
  </r>
  <r>
    <n v="1032"/>
    <x v="29"/>
    <x v="1"/>
    <x v="5"/>
    <x v="0"/>
    <s v="Respiratory infection"/>
    <x v="25"/>
    <x v="1"/>
    <n v="38.1"/>
    <n v="7.3"/>
    <n v="1"/>
    <x v="0"/>
    <x v="0"/>
    <x v="0"/>
    <x v="8"/>
  </r>
  <r>
    <n v="1033"/>
    <x v="30"/>
    <x v="1"/>
    <x v="21"/>
    <x v="3"/>
    <s v="UTI"/>
    <x v="26"/>
    <x v="0"/>
    <n v="37.4"/>
    <n v="6.3"/>
    <n v="1"/>
    <x v="0"/>
    <x v="0"/>
    <x v="1"/>
    <x v="5"/>
  </r>
  <r>
    <n v="1034"/>
    <x v="31"/>
    <x v="0"/>
    <x v="22"/>
    <x v="5"/>
    <s v="Hypertension"/>
    <x v="27"/>
    <x v="1"/>
    <n v="38.5"/>
    <n v="5.9"/>
    <n v="5"/>
    <x v="0"/>
    <x v="1"/>
    <x v="1"/>
    <x v="11"/>
  </r>
  <r>
    <n v="1035"/>
    <x v="32"/>
    <x v="0"/>
    <x v="23"/>
    <x v="3"/>
    <s v="Malaria"/>
    <x v="7"/>
    <x v="1"/>
    <n v="39.6"/>
    <n v="6.1"/>
    <n v="2"/>
    <x v="0"/>
    <x v="0"/>
    <x v="1"/>
    <x v="12"/>
  </r>
  <r>
    <n v="1036"/>
    <x v="33"/>
    <x v="0"/>
    <x v="6"/>
    <x v="3"/>
    <s v="UTI"/>
    <x v="28"/>
    <x v="0"/>
    <n v="37.200000000000003"/>
    <n v="11.2"/>
    <n v="0"/>
    <x v="0"/>
    <x v="0"/>
    <x v="1"/>
    <x v="4"/>
  </r>
  <r>
    <n v="1037"/>
    <x v="34"/>
    <x v="1"/>
    <x v="24"/>
    <x v="3"/>
    <s v="Typhoid"/>
    <x v="29"/>
    <x v="0"/>
    <n v="36"/>
    <n v="6.8"/>
    <n v="2"/>
    <x v="2"/>
    <x v="0"/>
    <x v="0"/>
    <x v="6"/>
  </r>
  <r>
    <n v="1038"/>
    <x v="23"/>
    <x v="0"/>
    <x v="3"/>
    <x v="0"/>
    <s v="Anemia"/>
    <x v="30"/>
    <x v="0"/>
    <n v="37.6"/>
    <n v="3.5"/>
    <n v="2"/>
    <x v="0"/>
    <x v="0"/>
    <x v="1"/>
    <x v="6"/>
  </r>
  <r>
    <n v="1039"/>
    <x v="35"/>
    <x v="0"/>
    <x v="25"/>
    <x v="2"/>
    <s v="UTI"/>
    <x v="31"/>
    <x v="0"/>
    <n v="37.1"/>
    <n v="9.6999999999999993"/>
    <n v="4"/>
    <x v="0"/>
    <x v="0"/>
    <x v="1"/>
    <x v="11"/>
  </r>
  <r>
    <n v="1040"/>
    <x v="36"/>
    <x v="1"/>
    <x v="26"/>
    <x v="3"/>
    <s v="Malaria"/>
    <x v="32"/>
    <x v="1"/>
    <n v="38"/>
    <n v="9.1999999999999993"/>
    <n v="1"/>
    <x v="1"/>
    <x v="1"/>
    <x v="1"/>
    <x v="13"/>
  </r>
  <r>
    <n v="1041"/>
    <x v="37"/>
    <x v="0"/>
    <x v="27"/>
    <x v="2"/>
    <s v="UTI"/>
    <x v="14"/>
    <x v="0"/>
    <n v="37.200000000000003"/>
    <n v="7.4"/>
    <n v="4"/>
    <x v="1"/>
    <x v="0"/>
    <x v="0"/>
    <x v="9"/>
  </r>
  <r>
    <n v="1042"/>
    <x v="38"/>
    <x v="1"/>
    <x v="3"/>
    <x v="2"/>
    <s v="Gastroenteritis"/>
    <x v="33"/>
    <x v="0"/>
    <n v="37.299999999999997"/>
    <n v="8.1"/>
    <n v="5"/>
    <x v="1"/>
    <x v="0"/>
    <x v="1"/>
    <x v="5"/>
  </r>
  <r>
    <n v="1043"/>
    <x v="39"/>
    <x v="0"/>
    <x v="28"/>
    <x v="1"/>
    <s v="Diabetes"/>
    <x v="34"/>
    <x v="1"/>
    <n v="38.700000000000003"/>
    <n v="7"/>
    <n v="2"/>
    <x v="0"/>
    <x v="1"/>
    <x v="1"/>
    <x v="13"/>
  </r>
  <r>
    <n v="1044"/>
    <x v="40"/>
    <x v="0"/>
    <x v="29"/>
    <x v="0"/>
    <s v="Respiratory infection"/>
    <x v="33"/>
    <x v="0"/>
    <n v="36.9"/>
    <n v="8.5"/>
    <n v="0"/>
    <x v="0"/>
    <x v="0"/>
    <x v="0"/>
    <x v="0"/>
  </r>
  <r>
    <n v="1045"/>
    <x v="1"/>
    <x v="1"/>
    <x v="30"/>
    <x v="5"/>
    <s v="Malaria"/>
    <x v="35"/>
    <x v="0"/>
    <n v="36.9"/>
    <n v="7"/>
    <n v="15"/>
    <x v="0"/>
    <x v="1"/>
    <x v="0"/>
    <x v="1"/>
  </r>
  <r>
    <n v="1046"/>
    <x v="41"/>
    <x v="0"/>
    <x v="8"/>
    <x v="2"/>
    <s v="Respiratory infection"/>
    <x v="14"/>
    <x v="0"/>
    <n v="37.4"/>
    <n v="7.8"/>
    <n v="7"/>
    <x v="2"/>
    <x v="0"/>
    <x v="1"/>
    <x v="12"/>
  </r>
  <r>
    <n v="1047"/>
    <x v="42"/>
    <x v="1"/>
    <x v="18"/>
    <x v="0"/>
    <s v="Malaria"/>
    <x v="30"/>
    <x v="0"/>
    <n v="36.799999999999997"/>
    <n v="10.8"/>
    <n v="0"/>
    <x v="0"/>
    <x v="0"/>
    <x v="0"/>
    <x v="9"/>
  </r>
  <r>
    <n v="1048"/>
    <x v="43"/>
    <x v="0"/>
    <x v="31"/>
    <x v="4"/>
    <s v="Typhoid"/>
    <x v="20"/>
    <x v="0"/>
    <n v="37"/>
    <n v="3.7"/>
    <n v="1"/>
    <x v="1"/>
    <x v="1"/>
    <x v="1"/>
    <x v="4"/>
  </r>
  <r>
    <n v="1049"/>
    <x v="44"/>
    <x v="0"/>
    <x v="0"/>
    <x v="0"/>
    <s v="Anemia"/>
    <x v="15"/>
    <x v="0"/>
    <n v="36.1"/>
    <n v="12.3"/>
    <n v="0"/>
    <x v="0"/>
    <x v="1"/>
    <x v="0"/>
    <x v="3"/>
  </r>
  <r>
    <n v="1050"/>
    <x v="8"/>
    <x v="1"/>
    <x v="30"/>
    <x v="2"/>
    <s v="Diabetes"/>
    <x v="36"/>
    <x v="0"/>
    <n v="36.6"/>
    <n v="5.4"/>
    <n v="3"/>
    <x v="0"/>
    <x v="0"/>
    <x v="0"/>
    <x v="5"/>
  </r>
  <r>
    <n v="1051"/>
    <x v="45"/>
    <x v="0"/>
    <x v="32"/>
    <x v="0"/>
    <s v="Diabetes"/>
    <x v="37"/>
    <x v="0"/>
    <n v="37.1"/>
    <n v="7.8"/>
    <n v="1"/>
    <x v="1"/>
    <x v="1"/>
    <x v="1"/>
    <x v="12"/>
  </r>
  <r>
    <n v="1052"/>
    <x v="46"/>
    <x v="1"/>
    <x v="33"/>
    <x v="1"/>
    <s v="Hypertension"/>
    <x v="3"/>
    <x v="0"/>
    <n v="37.299999999999997"/>
    <n v="5.4"/>
    <n v="6"/>
    <x v="0"/>
    <x v="0"/>
    <x v="0"/>
    <x v="0"/>
  </r>
  <r>
    <n v="1053"/>
    <x v="4"/>
    <x v="0"/>
    <x v="25"/>
    <x v="1"/>
    <s v="Hypertension"/>
    <x v="38"/>
    <x v="0"/>
    <n v="38.1"/>
    <n v="10.1"/>
    <n v="7"/>
    <x v="0"/>
    <x v="0"/>
    <x v="1"/>
    <x v="3"/>
  </r>
  <r>
    <n v="1054"/>
    <x v="40"/>
    <x v="0"/>
    <x v="15"/>
    <x v="2"/>
    <s v="Hypertension"/>
    <x v="28"/>
    <x v="0"/>
    <n v="37"/>
    <n v="7.5"/>
    <n v="7"/>
    <x v="2"/>
    <x v="0"/>
    <x v="0"/>
    <x v="0"/>
  </r>
  <r>
    <n v="1055"/>
    <x v="47"/>
    <x v="0"/>
    <x v="23"/>
    <x v="0"/>
    <s v="UTI"/>
    <x v="7"/>
    <x v="0"/>
    <n v="37.9"/>
    <n v="7.4"/>
    <n v="2"/>
    <x v="1"/>
    <x v="0"/>
    <x v="1"/>
    <x v="12"/>
  </r>
  <r>
    <n v="1056"/>
    <x v="48"/>
    <x v="1"/>
    <x v="13"/>
    <x v="1"/>
    <s v="Malaria"/>
    <x v="21"/>
    <x v="0"/>
    <n v="37.799999999999997"/>
    <n v="6.8"/>
    <n v="9"/>
    <x v="1"/>
    <x v="0"/>
    <x v="0"/>
    <x v="5"/>
  </r>
  <r>
    <n v="1057"/>
    <x v="49"/>
    <x v="1"/>
    <x v="5"/>
    <x v="0"/>
    <s v="Hypertension"/>
    <x v="23"/>
    <x v="1"/>
    <n v="38.5"/>
    <n v="7.5"/>
    <n v="1"/>
    <x v="1"/>
    <x v="0"/>
    <x v="0"/>
    <x v="1"/>
  </r>
  <r>
    <n v="1058"/>
    <x v="50"/>
    <x v="1"/>
    <x v="23"/>
    <x v="2"/>
    <s v="Typhoid"/>
    <x v="39"/>
    <x v="1"/>
    <n v="37.700000000000003"/>
    <n v="5.5"/>
    <n v="5"/>
    <x v="0"/>
    <x v="0"/>
    <x v="1"/>
    <x v="10"/>
  </r>
  <r>
    <n v="1059"/>
    <x v="51"/>
    <x v="1"/>
    <x v="22"/>
    <x v="2"/>
    <s v="Respiratory infection"/>
    <x v="40"/>
    <x v="0"/>
    <n v="37"/>
    <n v="9.1999999999999993"/>
    <n v="8"/>
    <x v="0"/>
    <x v="0"/>
    <x v="1"/>
    <x v="7"/>
  </r>
  <r>
    <n v="1060"/>
    <x v="52"/>
    <x v="1"/>
    <x v="20"/>
    <x v="0"/>
    <s v="Hypertension"/>
    <x v="22"/>
    <x v="1"/>
    <n v="37.4"/>
    <n v="2.7"/>
    <n v="0"/>
    <x v="2"/>
    <x v="1"/>
    <x v="1"/>
    <x v="6"/>
  </r>
  <r>
    <n v="1061"/>
    <x v="53"/>
    <x v="0"/>
    <x v="28"/>
    <x v="5"/>
    <s v="Malaria"/>
    <x v="3"/>
    <x v="1"/>
    <n v="37"/>
    <n v="10.4"/>
    <n v="6"/>
    <x v="2"/>
    <x v="0"/>
    <x v="1"/>
    <x v="2"/>
  </r>
  <r>
    <n v="1062"/>
    <x v="54"/>
    <x v="1"/>
    <x v="3"/>
    <x v="3"/>
    <s v="Anemia"/>
    <x v="41"/>
    <x v="0"/>
    <n v="36.700000000000003"/>
    <n v="7.9"/>
    <n v="0"/>
    <x v="0"/>
    <x v="1"/>
    <x v="1"/>
    <x v="0"/>
  </r>
  <r>
    <n v="1063"/>
    <x v="19"/>
    <x v="1"/>
    <x v="3"/>
    <x v="3"/>
    <s v="Anemia"/>
    <x v="42"/>
    <x v="1"/>
    <n v="37.9"/>
    <n v="6.1"/>
    <n v="2"/>
    <x v="2"/>
    <x v="1"/>
    <x v="1"/>
    <x v="0"/>
  </r>
  <r>
    <n v="1064"/>
    <x v="55"/>
    <x v="1"/>
    <x v="3"/>
    <x v="0"/>
    <s v="Gastroenteritis"/>
    <x v="33"/>
    <x v="0"/>
    <n v="36.5"/>
    <n v="9.1999999999999993"/>
    <n v="0"/>
    <x v="0"/>
    <x v="0"/>
    <x v="1"/>
    <x v="8"/>
  </r>
  <r>
    <n v="1065"/>
    <x v="56"/>
    <x v="1"/>
    <x v="4"/>
    <x v="5"/>
    <s v="Malaria"/>
    <x v="31"/>
    <x v="0"/>
    <n v="36.5"/>
    <n v="2.9"/>
    <n v="3"/>
    <x v="0"/>
    <x v="0"/>
    <x v="1"/>
    <x v="9"/>
  </r>
  <r>
    <n v="1066"/>
    <x v="57"/>
    <x v="0"/>
    <x v="30"/>
    <x v="3"/>
    <s v="Diabetes"/>
    <x v="23"/>
    <x v="0"/>
    <n v="36.700000000000003"/>
    <n v="8.6"/>
    <n v="1"/>
    <x v="1"/>
    <x v="0"/>
    <x v="0"/>
    <x v="6"/>
  </r>
  <r>
    <n v="1067"/>
    <x v="58"/>
    <x v="0"/>
    <x v="34"/>
    <x v="4"/>
    <s v="Typhoid"/>
    <x v="36"/>
    <x v="0"/>
    <n v="37.4"/>
    <n v="9.1"/>
    <n v="10"/>
    <x v="0"/>
    <x v="0"/>
    <x v="1"/>
    <x v="2"/>
  </r>
  <r>
    <n v="1068"/>
    <x v="59"/>
    <x v="1"/>
    <x v="17"/>
    <x v="1"/>
    <s v="UTI"/>
    <x v="43"/>
    <x v="0"/>
    <n v="37.5"/>
    <n v="9.4"/>
    <n v="10"/>
    <x v="0"/>
    <x v="0"/>
    <x v="1"/>
    <x v="9"/>
  </r>
  <r>
    <n v="1069"/>
    <x v="60"/>
    <x v="0"/>
    <x v="24"/>
    <x v="0"/>
    <s v="Malaria"/>
    <x v="44"/>
    <x v="0"/>
    <n v="36.700000000000003"/>
    <n v="3.8"/>
    <n v="0"/>
    <x v="1"/>
    <x v="0"/>
    <x v="0"/>
    <x v="12"/>
  </r>
  <r>
    <n v="1070"/>
    <x v="61"/>
    <x v="1"/>
    <x v="32"/>
    <x v="3"/>
    <s v="Anemia"/>
    <x v="45"/>
    <x v="1"/>
    <n v="38.5"/>
    <n v="5.8"/>
    <n v="1"/>
    <x v="0"/>
    <x v="1"/>
    <x v="1"/>
    <x v="10"/>
  </r>
  <r>
    <n v="1071"/>
    <x v="62"/>
    <x v="1"/>
    <x v="35"/>
    <x v="6"/>
    <s v="Gastroenteritis"/>
    <x v="4"/>
    <x v="0"/>
    <n v="37.4"/>
    <n v="9.3000000000000007"/>
    <n v="6"/>
    <x v="0"/>
    <x v="0"/>
    <x v="1"/>
    <x v="10"/>
  </r>
  <r>
    <n v="1072"/>
    <x v="63"/>
    <x v="1"/>
    <x v="3"/>
    <x v="6"/>
    <s v="Malaria"/>
    <x v="9"/>
    <x v="1"/>
    <n v="38"/>
    <n v="8"/>
    <n v="1"/>
    <x v="0"/>
    <x v="1"/>
    <x v="1"/>
    <x v="2"/>
  </r>
  <r>
    <n v="1073"/>
    <x v="64"/>
    <x v="1"/>
    <x v="22"/>
    <x v="0"/>
    <s v="Malaria"/>
    <x v="32"/>
    <x v="1"/>
    <n v="37.799999999999997"/>
    <n v="6.3"/>
    <n v="0"/>
    <x v="1"/>
    <x v="1"/>
    <x v="1"/>
    <x v="13"/>
  </r>
  <r>
    <n v="1074"/>
    <x v="65"/>
    <x v="0"/>
    <x v="36"/>
    <x v="0"/>
    <s v="Malaria"/>
    <x v="46"/>
    <x v="1"/>
    <n v="38.1"/>
    <n v="6.8"/>
    <n v="2"/>
    <x v="0"/>
    <x v="1"/>
    <x v="1"/>
    <x v="7"/>
  </r>
  <r>
    <n v="1075"/>
    <x v="66"/>
    <x v="1"/>
    <x v="35"/>
    <x v="5"/>
    <s v="Gastroenteritis"/>
    <x v="47"/>
    <x v="0"/>
    <n v="37.299999999999997"/>
    <n v="9.1999999999999993"/>
    <n v="14"/>
    <x v="0"/>
    <x v="0"/>
    <x v="1"/>
    <x v="2"/>
  </r>
  <r>
    <n v="1076"/>
    <x v="67"/>
    <x v="1"/>
    <x v="19"/>
    <x v="0"/>
    <s v="Malaria"/>
    <x v="34"/>
    <x v="1"/>
    <n v="37.299999999999997"/>
    <n v="10.3"/>
    <n v="0"/>
    <x v="0"/>
    <x v="1"/>
    <x v="1"/>
    <x v="7"/>
  </r>
  <r>
    <n v="1077"/>
    <x v="68"/>
    <x v="1"/>
    <x v="3"/>
    <x v="4"/>
    <s v="Anemia"/>
    <x v="20"/>
    <x v="1"/>
    <n v="38.1"/>
    <n v="8.1999999999999993"/>
    <n v="7"/>
    <x v="1"/>
    <x v="1"/>
    <x v="1"/>
    <x v="3"/>
  </r>
  <r>
    <n v="1078"/>
    <x v="57"/>
    <x v="1"/>
    <x v="28"/>
    <x v="5"/>
    <s v="UTI"/>
    <x v="48"/>
    <x v="1"/>
    <n v="37.700000000000003"/>
    <n v="5.7"/>
    <n v="10"/>
    <x v="0"/>
    <x v="0"/>
    <x v="1"/>
    <x v="6"/>
  </r>
  <r>
    <n v="1079"/>
    <x v="69"/>
    <x v="0"/>
    <x v="37"/>
    <x v="0"/>
    <s v="Diabetes"/>
    <x v="46"/>
    <x v="1"/>
    <n v="38.9"/>
    <n v="12.2"/>
    <n v="0"/>
    <x v="0"/>
    <x v="1"/>
    <x v="1"/>
    <x v="8"/>
  </r>
  <r>
    <n v="1080"/>
    <x v="70"/>
    <x v="0"/>
    <x v="35"/>
    <x v="3"/>
    <s v="Respiratory infection"/>
    <x v="18"/>
    <x v="0"/>
    <n v="37.200000000000003"/>
    <n v="5.6"/>
    <n v="1"/>
    <x v="1"/>
    <x v="1"/>
    <x v="1"/>
    <x v="3"/>
  </r>
  <r>
    <n v="1081"/>
    <x v="71"/>
    <x v="1"/>
    <x v="4"/>
    <x v="0"/>
    <s v="Diabetes"/>
    <x v="21"/>
    <x v="0"/>
    <n v="36.200000000000003"/>
    <n v="8.5"/>
    <n v="1"/>
    <x v="1"/>
    <x v="0"/>
    <x v="1"/>
    <x v="5"/>
  </r>
  <r>
    <n v="1082"/>
    <x v="72"/>
    <x v="1"/>
    <x v="38"/>
    <x v="3"/>
    <s v="Respiratory infection"/>
    <x v="5"/>
    <x v="0"/>
    <n v="37"/>
    <n v="9.8000000000000007"/>
    <n v="2"/>
    <x v="0"/>
    <x v="1"/>
    <x v="1"/>
    <x v="6"/>
  </r>
  <r>
    <n v="1083"/>
    <x v="73"/>
    <x v="1"/>
    <x v="25"/>
    <x v="4"/>
    <s v="Gastroenteritis"/>
    <x v="48"/>
    <x v="0"/>
    <n v="37.200000000000003"/>
    <n v="7.6"/>
    <n v="10"/>
    <x v="1"/>
    <x v="0"/>
    <x v="1"/>
    <x v="9"/>
  </r>
  <r>
    <n v="1084"/>
    <x v="74"/>
    <x v="1"/>
    <x v="35"/>
    <x v="6"/>
    <s v="Anemia"/>
    <x v="21"/>
    <x v="0"/>
    <n v="37.4"/>
    <n v="4.9000000000000004"/>
    <n v="5"/>
    <x v="2"/>
    <x v="0"/>
    <x v="1"/>
    <x v="8"/>
  </r>
  <r>
    <n v="1085"/>
    <x v="75"/>
    <x v="0"/>
    <x v="6"/>
    <x v="1"/>
    <s v="Gastroenteritis"/>
    <x v="49"/>
    <x v="0"/>
    <n v="37"/>
    <n v="9.6"/>
    <n v="4"/>
    <x v="0"/>
    <x v="0"/>
    <x v="1"/>
    <x v="10"/>
  </r>
  <r>
    <n v="1086"/>
    <x v="76"/>
    <x v="0"/>
    <x v="39"/>
    <x v="0"/>
    <s v="UTI"/>
    <x v="31"/>
    <x v="0"/>
    <n v="36.200000000000003"/>
    <n v="12.1"/>
    <n v="2"/>
    <x v="0"/>
    <x v="0"/>
    <x v="0"/>
    <x v="10"/>
  </r>
  <r>
    <n v="1087"/>
    <x v="77"/>
    <x v="0"/>
    <x v="25"/>
    <x v="1"/>
    <s v="Respiratory infection"/>
    <x v="50"/>
    <x v="0"/>
    <n v="38.799999999999997"/>
    <n v="6.9"/>
    <n v="2"/>
    <x v="0"/>
    <x v="0"/>
    <x v="1"/>
    <x v="11"/>
  </r>
  <r>
    <n v="1088"/>
    <x v="78"/>
    <x v="0"/>
    <x v="35"/>
    <x v="1"/>
    <s v="Typhoid"/>
    <x v="13"/>
    <x v="0"/>
    <n v="36"/>
    <n v="10.3"/>
    <n v="1"/>
    <x v="0"/>
    <x v="0"/>
    <x v="1"/>
    <x v="9"/>
  </r>
  <r>
    <n v="1089"/>
    <x v="79"/>
    <x v="1"/>
    <x v="9"/>
    <x v="4"/>
    <s v="Malaria"/>
    <x v="0"/>
    <x v="1"/>
    <n v="37.9"/>
    <n v="6.9"/>
    <n v="6"/>
    <x v="0"/>
    <x v="0"/>
    <x v="1"/>
    <x v="13"/>
  </r>
  <r>
    <n v="1090"/>
    <x v="80"/>
    <x v="0"/>
    <x v="33"/>
    <x v="1"/>
    <s v="UTI"/>
    <x v="36"/>
    <x v="1"/>
    <n v="37.799999999999997"/>
    <n v="11.3"/>
    <n v="5"/>
    <x v="0"/>
    <x v="0"/>
    <x v="0"/>
    <x v="0"/>
  </r>
  <r>
    <n v="1091"/>
    <x v="81"/>
    <x v="1"/>
    <x v="18"/>
    <x v="4"/>
    <s v="Gastroenteritis"/>
    <x v="38"/>
    <x v="0"/>
    <n v="36.6"/>
    <n v="6.2"/>
    <n v="1"/>
    <x v="0"/>
    <x v="0"/>
    <x v="0"/>
    <x v="4"/>
  </r>
  <r>
    <n v="1092"/>
    <x v="67"/>
    <x v="1"/>
    <x v="19"/>
    <x v="2"/>
    <s v="Malaria"/>
    <x v="21"/>
    <x v="0"/>
    <n v="37.299999999999997"/>
    <n v="7.1"/>
    <n v="4"/>
    <x v="1"/>
    <x v="0"/>
    <x v="1"/>
    <x v="7"/>
  </r>
  <r>
    <n v="1093"/>
    <x v="82"/>
    <x v="0"/>
    <x v="33"/>
    <x v="3"/>
    <s v="Malaria"/>
    <x v="51"/>
    <x v="0"/>
    <n v="37.200000000000003"/>
    <n v="4.0999999999999996"/>
    <n v="0"/>
    <x v="0"/>
    <x v="0"/>
    <x v="0"/>
    <x v="13"/>
  </r>
  <r>
    <n v="1094"/>
    <x v="83"/>
    <x v="0"/>
    <x v="6"/>
    <x v="0"/>
    <s v="Malaria"/>
    <x v="52"/>
    <x v="1"/>
    <n v="37.5"/>
    <n v="10.6"/>
    <n v="2"/>
    <x v="2"/>
    <x v="1"/>
    <x v="1"/>
    <x v="5"/>
  </r>
  <r>
    <n v="1095"/>
    <x v="84"/>
    <x v="0"/>
    <x v="3"/>
    <x v="6"/>
    <s v="UTI"/>
    <x v="53"/>
    <x v="1"/>
    <n v="38.4"/>
    <n v="8.4"/>
    <n v="9"/>
    <x v="0"/>
    <x v="1"/>
    <x v="1"/>
    <x v="10"/>
  </r>
  <r>
    <n v="1096"/>
    <x v="85"/>
    <x v="0"/>
    <x v="40"/>
    <x v="0"/>
    <s v="Respiratory infection"/>
    <x v="11"/>
    <x v="0"/>
    <n v="36.1"/>
    <n v="11.7"/>
    <n v="2"/>
    <x v="3"/>
    <x v="0"/>
    <x v="0"/>
    <x v="10"/>
  </r>
  <r>
    <n v="1097"/>
    <x v="86"/>
    <x v="1"/>
    <x v="4"/>
    <x v="3"/>
    <s v="Anemia"/>
    <x v="42"/>
    <x v="0"/>
    <n v="37.200000000000003"/>
    <n v="10.5"/>
    <n v="0"/>
    <x v="1"/>
    <x v="1"/>
    <x v="1"/>
    <x v="3"/>
  </r>
  <r>
    <n v="1098"/>
    <x v="87"/>
    <x v="1"/>
    <x v="2"/>
    <x v="1"/>
    <s v="Malaria"/>
    <x v="54"/>
    <x v="0"/>
    <n v="36.9"/>
    <n v="9.5"/>
    <n v="1"/>
    <x v="1"/>
    <x v="0"/>
    <x v="1"/>
    <x v="2"/>
  </r>
  <r>
    <n v="1099"/>
    <x v="88"/>
    <x v="0"/>
    <x v="29"/>
    <x v="0"/>
    <s v="Diabetes"/>
    <x v="55"/>
    <x v="0"/>
    <n v="35.9"/>
    <n v="7.6"/>
    <n v="1"/>
    <x v="0"/>
    <x v="1"/>
    <x v="0"/>
    <x v="1"/>
  </r>
  <r>
    <n v="1100"/>
    <x v="29"/>
    <x v="1"/>
    <x v="26"/>
    <x v="4"/>
    <s v="Anemia"/>
    <x v="56"/>
    <x v="1"/>
    <n v="37.700000000000003"/>
    <n v="7.7"/>
    <n v="4"/>
    <x v="0"/>
    <x v="1"/>
    <x v="1"/>
    <x v="8"/>
  </r>
  <r>
    <n v="1101"/>
    <x v="89"/>
    <x v="1"/>
    <x v="20"/>
    <x v="3"/>
    <s v="Respiratory infection"/>
    <x v="57"/>
    <x v="0"/>
    <n v="35.799999999999997"/>
    <n v="8.6"/>
    <n v="2"/>
    <x v="1"/>
    <x v="0"/>
    <x v="1"/>
    <x v="10"/>
  </r>
  <r>
    <n v="1102"/>
    <x v="90"/>
    <x v="1"/>
    <x v="41"/>
    <x v="2"/>
    <s v="UTI"/>
    <x v="26"/>
    <x v="0"/>
    <n v="37.200000000000003"/>
    <n v="8"/>
    <n v="5"/>
    <x v="0"/>
    <x v="0"/>
    <x v="0"/>
    <x v="6"/>
  </r>
  <r>
    <n v="1103"/>
    <x v="91"/>
    <x v="1"/>
    <x v="39"/>
    <x v="0"/>
    <s v="Anemia"/>
    <x v="58"/>
    <x v="0"/>
    <n v="35.700000000000003"/>
    <n v="4.5"/>
    <n v="2"/>
    <x v="0"/>
    <x v="1"/>
    <x v="0"/>
    <x v="8"/>
  </r>
  <r>
    <n v="1104"/>
    <x v="92"/>
    <x v="1"/>
    <x v="32"/>
    <x v="0"/>
    <s v="Gastroenteritis"/>
    <x v="53"/>
    <x v="1"/>
    <n v="37.700000000000003"/>
    <n v="3.8"/>
    <n v="2"/>
    <x v="0"/>
    <x v="1"/>
    <x v="1"/>
    <x v="2"/>
  </r>
  <r>
    <n v="1105"/>
    <x v="93"/>
    <x v="1"/>
    <x v="15"/>
    <x v="4"/>
    <s v="Malaria"/>
    <x v="59"/>
    <x v="1"/>
    <n v="38.6"/>
    <n v="6"/>
    <n v="7"/>
    <x v="1"/>
    <x v="0"/>
    <x v="0"/>
    <x v="1"/>
  </r>
  <r>
    <n v="1106"/>
    <x v="38"/>
    <x v="1"/>
    <x v="7"/>
    <x v="0"/>
    <s v="Gastroenteritis"/>
    <x v="34"/>
    <x v="0"/>
    <n v="37.4"/>
    <n v="5.7"/>
    <n v="2"/>
    <x v="1"/>
    <x v="1"/>
    <x v="1"/>
    <x v="5"/>
  </r>
  <r>
    <n v="1107"/>
    <x v="94"/>
    <x v="1"/>
    <x v="6"/>
    <x v="3"/>
    <s v="Gastroenteritis"/>
    <x v="13"/>
    <x v="0"/>
    <n v="36.5"/>
    <n v="7.4"/>
    <n v="2"/>
    <x v="1"/>
    <x v="0"/>
    <x v="1"/>
    <x v="2"/>
  </r>
  <r>
    <n v="1108"/>
    <x v="95"/>
    <x v="1"/>
    <x v="37"/>
    <x v="2"/>
    <s v="Gastroenteritis"/>
    <x v="33"/>
    <x v="0"/>
    <n v="38.5"/>
    <n v="7.2"/>
    <n v="2"/>
    <x v="1"/>
    <x v="0"/>
    <x v="1"/>
    <x v="13"/>
  </r>
  <r>
    <n v="1109"/>
    <x v="69"/>
    <x v="1"/>
    <x v="42"/>
    <x v="6"/>
    <s v="Anemia"/>
    <x v="19"/>
    <x v="0"/>
    <n v="37.799999999999997"/>
    <n v="8.1"/>
    <n v="1"/>
    <x v="1"/>
    <x v="0"/>
    <x v="0"/>
    <x v="8"/>
  </r>
  <r>
    <n v="1110"/>
    <x v="83"/>
    <x v="0"/>
    <x v="10"/>
    <x v="1"/>
    <s v="UTI"/>
    <x v="45"/>
    <x v="1"/>
    <n v="37.6"/>
    <n v="10.7"/>
    <n v="10"/>
    <x v="1"/>
    <x v="1"/>
    <x v="0"/>
    <x v="5"/>
  </r>
  <r>
    <n v="1111"/>
    <x v="96"/>
    <x v="0"/>
    <x v="7"/>
    <x v="6"/>
    <s v="Gastroenteritis"/>
    <x v="28"/>
    <x v="0"/>
    <n v="37.4"/>
    <n v="9.1999999999999993"/>
    <n v="5"/>
    <x v="0"/>
    <x v="0"/>
    <x v="1"/>
    <x v="8"/>
  </r>
  <r>
    <n v="1112"/>
    <x v="97"/>
    <x v="1"/>
    <x v="30"/>
    <x v="2"/>
    <s v="Malaria"/>
    <x v="14"/>
    <x v="0"/>
    <n v="37"/>
    <n v="9.1999999999999993"/>
    <n v="3"/>
    <x v="0"/>
    <x v="0"/>
    <x v="0"/>
    <x v="5"/>
  </r>
  <r>
    <n v="1113"/>
    <x v="81"/>
    <x v="1"/>
    <x v="9"/>
    <x v="5"/>
    <s v="Malaria"/>
    <x v="4"/>
    <x v="0"/>
    <n v="37.9"/>
    <n v="10"/>
    <n v="17"/>
    <x v="1"/>
    <x v="0"/>
    <x v="1"/>
    <x v="4"/>
  </r>
  <r>
    <n v="1114"/>
    <x v="98"/>
    <x v="1"/>
    <x v="35"/>
    <x v="3"/>
    <s v="Respiratory infection"/>
    <x v="58"/>
    <x v="0"/>
    <n v="37.5"/>
    <n v="9.8000000000000007"/>
    <n v="0"/>
    <x v="1"/>
    <x v="1"/>
    <x v="1"/>
    <x v="12"/>
  </r>
  <r>
    <n v="1115"/>
    <x v="99"/>
    <x v="1"/>
    <x v="36"/>
    <x v="3"/>
    <s v="Malaria"/>
    <x v="60"/>
    <x v="1"/>
    <n v="37.4"/>
    <n v="5.0999999999999996"/>
    <n v="2"/>
    <x v="0"/>
    <x v="0"/>
    <x v="1"/>
    <x v="13"/>
  </r>
  <r>
    <n v="1116"/>
    <x v="14"/>
    <x v="1"/>
    <x v="43"/>
    <x v="5"/>
    <s v="Diabetes"/>
    <x v="28"/>
    <x v="0"/>
    <n v="37.700000000000003"/>
    <n v="11.9"/>
    <n v="9"/>
    <x v="0"/>
    <x v="0"/>
    <x v="0"/>
    <x v="8"/>
  </r>
  <r>
    <n v="1117"/>
    <x v="100"/>
    <x v="0"/>
    <x v="12"/>
    <x v="1"/>
    <s v="Hypertension"/>
    <x v="18"/>
    <x v="0"/>
    <n v="37.1"/>
    <n v="6.4"/>
    <n v="8"/>
    <x v="1"/>
    <x v="1"/>
    <x v="1"/>
    <x v="8"/>
  </r>
  <r>
    <n v="1118"/>
    <x v="101"/>
    <x v="0"/>
    <x v="44"/>
    <x v="5"/>
    <s v="Gastroenteritis"/>
    <x v="44"/>
    <x v="0"/>
    <n v="36"/>
    <n v="5.5"/>
    <n v="18"/>
    <x v="1"/>
    <x v="0"/>
    <x v="1"/>
    <x v="10"/>
  </r>
  <r>
    <n v="1119"/>
    <x v="102"/>
    <x v="0"/>
    <x v="29"/>
    <x v="4"/>
    <s v="Hypertension"/>
    <x v="8"/>
    <x v="1"/>
    <n v="36.799999999999997"/>
    <n v="10.1"/>
    <n v="10"/>
    <x v="0"/>
    <x v="0"/>
    <x v="0"/>
    <x v="1"/>
  </r>
  <r>
    <n v="1120"/>
    <x v="103"/>
    <x v="0"/>
    <x v="45"/>
    <x v="0"/>
    <s v="Malaria"/>
    <x v="38"/>
    <x v="1"/>
    <n v="37.5"/>
    <n v="10.7"/>
    <n v="0"/>
    <x v="1"/>
    <x v="0"/>
    <x v="0"/>
    <x v="1"/>
  </r>
  <r>
    <n v="1121"/>
    <x v="77"/>
    <x v="0"/>
    <x v="3"/>
    <x v="2"/>
    <s v="Hypertension"/>
    <x v="8"/>
    <x v="0"/>
    <n v="36.700000000000003"/>
    <n v="6.5"/>
    <n v="8"/>
    <x v="0"/>
    <x v="0"/>
    <x v="1"/>
    <x v="11"/>
  </r>
  <r>
    <n v="1122"/>
    <x v="104"/>
    <x v="1"/>
    <x v="3"/>
    <x v="0"/>
    <s v="UTI"/>
    <x v="19"/>
    <x v="1"/>
    <n v="38.1"/>
    <n v="6"/>
    <n v="2"/>
    <x v="0"/>
    <x v="0"/>
    <x v="1"/>
    <x v="2"/>
  </r>
  <r>
    <n v="1123"/>
    <x v="105"/>
    <x v="1"/>
    <x v="23"/>
    <x v="2"/>
    <s v="Hypertension"/>
    <x v="52"/>
    <x v="0"/>
    <n v="37.700000000000003"/>
    <n v="10.3"/>
    <n v="1"/>
    <x v="0"/>
    <x v="1"/>
    <x v="1"/>
    <x v="0"/>
  </r>
  <r>
    <n v="1124"/>
    <x v="106"/>
    <x v="0"/>
    <x v="5"/>
    <x v="5"/>
    <s v="UTI"/>
    <x v="25"/>
    <x v="0"/>
    <n v="36.9"/>
    <n v="8.1"/>
    <n v="6"/>
    <x v="0"/>
    <x v="0"/>
    <x v="0"/>
    <x v="9"/>
  </r>
  <r>
    <n v="1125"/>
    <x v="12"/>
    <x v="0"/>
    <x v="3"/>
    <x v="4"/>
    <s v="Typhoid"/>
    <x v="3"/>
    <x v="0"/>
    <n v="37.200000000000003"/>
    <n v="7"/>
    <n v="8"/>
    <x v="0"/>
    <x v="0"/>
    <x v="1"/>
    <x v="5"/>
  </r>
  <r>
    <n v="1126"/>
    <x v="107"/>
    <x v="0"/>
    <x v="39"/>
    <x v="0"/>
    <s v="UTI"/>
    <x v="59"/>
    <x v="1"/>
    <n v="38.9"/>
    <n v="9.6"/>
    <n v="0"/>
    <x v="0"/>
    <x v="0"/>
    <x v="0"/>
    <x v="10"/>
  </r>
  <r>
    <n v="1127"/>
    <x v="44"/>
    <x v="0"/>
    <x v="6"/>
    <x v="0"/>
    <s v="Typhoid"/>
    <x v="59"/>
    <x v="1"/>
    <n v="39.299999999999997"/>
    <n v="5.4"/>
    <n v="2"/>
    <x v="1"/>
    <x v="0"/>
    <x v="1"/>
    <x v="3"/>
  </r>
  <r>
    <n v="1128"/>
    <x v="108"/>
    <x v="1"/>
    <x v="3"/>
    <x v="2"/>
    <s v="Hypertension"/>
    <x v="40"/>
    <x v="1"/>
    <n v="38.200000000000003"/>
    <n v="9"/>
    <n v="1"/>
    <x v="0"/>
    <x v="0"/>
    <x v="1"/>
    <x v="13"/>
  </r>
  <r>
    <n v="1129"/>
    <x v="109"/>
    <x v="1"/>
    <x v="46"/>
    <x v="0"/>
    <s v="Typhoid"/>
    <x v="1"/>
    <x v="0"/>
    <n v="36.700000000000003"/>
    <n v="7.9"/>
    <n v="2"/>
    <x v="1"/>
    <x v="0"/>
    <x v="0"/>
    <x v="11"/>
  </r>
  <r>
    <n v="1130"/>
    <x v="110"/>
    <x v="1"/>
    <x v="23"/>
    <x v="6"/>
    <s v="Anemia"/>
    <x v="53"/>
    <x v="0"/>
    <n v="36.4"/>
    <n v="6.2"/>
    <n v="3"/>
    <x v="0"/>
    <x v="1"/>
    <x v="1"/>
    <x v="4"/>
  </r>
  <r>
    <n v="1131"/>
    <x v="111"/>
    <x v="1"/>
    <x v="3"/>
    <x v="4"/>
    <s v="Gastroenteritis"/>
    <x v="61"/>
    <x v="0"/>
    <n v="37.1"/>
    <n v="11.8"/>
    <n v="4"/>
    <x v="0"/>
    <x v="0"/>
    <x v="1"/>
    <x v="1"/>
  </r>
  <r>
    <n v="1132"/>
    <x v="112"/>
    <x v="1"/>
    <x v="44"/>
    <x v="3"/>
    <s v="Anemia"/>
    <x v="42"/>
    <x v="0"/>
    <n v="37.700000000000003"/>
    <n v="9.8000000000000007"/>
    <n v="1"/>
    <x v="1"/>
    <x v="1"/>
    <x v="1"/>
    <x v="4"/>
  </r>
  <r>
    <n v="1133"/>
    <x v="113"/>
    <x v="1"/>
    <x v="46"/>
    <x v="4"/>
    <s v="Diabetes"/>
    <x v="7"/>
    <x v="1"/>
    <n v="38"/>
    <n v="6.3"/>
    <n v="7"/>
    <x v="1"/>
    <x v="0"/>
    <x v="0"/>
    <x v="11"/>
  </r>
  <r>
    <n v="1134"/>
    <x v="114"/>
    <x v="0"/>
    <x v="3"/>
    <x v="1"/>
    <s v="Typhoid"/>
    <x v="38"/>
    <x v="0"/>
    <n v="36.299999999999997"/>
    <n v="10.4"/>
    <n v="2"/>
    <x v="1"/>
    <x v="0"/>
    <x v="1"/>
    <x v="2"/>
  </r>
  <r>
    <n v="1135"/>
    <x v="115"/>
    <x v="0"/>
    <x v="14"/>
    <x v="2"/>
    <s v="Respiratory infection"/>
    <x v="3"/>
    <x v="0"/>
    <n v="36.5"/>
    <n v="8.1"/>
    <n v="10"/>
    <x v="0"/>
    <x v="0"/>
    <x v="0"/>
    <x v="13"/>
  </r>
  <r>
    <n v="1136"/>
    <x v="116"/>
    <x v="0"/>
    <x v="47"/>
    <x v="3"/>
    <s v="Respiratory infection"/>
    <x v="55"/>
    <x v="0"/>
    <n v="37.6"/>
    <n v="4.9000000000000004"/>
    <n v="1"/>
    <x v="0"/>
    <x v="1"/>
    <x v="0"/>
    <x v="4"/>
  </r>
  <r>
    <n v="1137"/>
    <x v="117"/>
    <x v="1"/>
    <x v="3"/>
    <x v="0"/>
    <s v="Diabetes"/>
    <x v="33"/>
    <x v="0"/>
    <n v="36.5"/>
    <n v="10.4"/>
    <n v="2"/>
    <x v="0"/>
    <x v="0"/>
    <x v="1"/>
    <x v="4"/>
  </r>
  <r>
    <n v="1138"/>
    <x v="118"/>
    <x v="0"/>
    <x v="48"/>
    <x v="4"/>
    <s v="Respiratory infection"/>
    <x v="62"/>
    <x v="1"/>
    <n v="37.6"/>
    <n v="8.6999999999999993"/>
    <n v="4"/>
    <x v="0"/>
    <x v="1"/>
    <x v="0"/>
    <x v="6"/>
  </r>
  <r>
    <n v="1139"/>
    <x v="119"/>
    <x v="1"/>
    <x v="3"/>
    <x v="0"/>
    <s v="Anemia"/>
    <x v="63"/>
    <x v="0"/>
    <n v="37.1"/>
    <n v="7.7"/>
    <n v="2"/>
    <x v="0"/>
    <x v="1"/>
    <x v="1"/>
    <x v="7"/>
  </r>
  <r>
    <n v="1140"/>
    <x v="22"/>
    <x v="0"/>
    <x v="8"/>
    <x v="3"/>
    <s v="Gastroenteritis"/>
    <x v="34"/>
    <x v="1"/>
    <n v="38.4"/>
    <n v="5.7"/>
    <n v="1"/>
    <x v="1"/>
    <x v="1"/>
    <x v="1"/>
    <x v="10"/>
  </r>
  <r>
    <n v="1141"/>
    <x v="120"/>
    <x v="1"/>
    <x v="10"/>
    <x v="1"/>
    <s v="Hypertension"/>
    <x v="7"/>
    <x v="0"/>
    <n v="37.1"/>
    <n v="7.3"/>
    <n v="5"/>
    <x v="0"/>
    <x v="0"/>
    <x v="0"/>
    <x v="2"/>
  </r>
  <r>
    <n v="1142"/>
    <x v="33"/>
    <x v="1"/>
    <x v="24"/>
    <x v="1"/>
    <s v="Gastroenteritis"/>
    <x v="13"/>
    <x v="0"/>
    <n v="36.799999999999997"/>
    <n v="9.5"/>
    <n v="10"/>
    <x v="2"/>
    <x v="0"/>
    <x v="0"/>
    <x v="4"/>
  </r>
  <r>
    <n v="1143"/>
    <x v="121"/>
    <x v="0"/>
    <x v="5"/>
    <x v="5"/>
    <s v="Respiratory infection"/>
    <x v="8"/>
    <x v="1"/>
    <n v="38.1"/>
    <n v="4.5"/>
    <n v="15"/>
    <x v="1"/>
    <x v="0"/>
    <x v="0"/>
    <x v="10"/>
  </r>
  <r>
    <n v="1144"/>
    <x v="1"/>
    <x v="1"/>
    <x v="41"/>
    <x v="1"/>
    <s v="Diabetes"/>
    <x v="3"/>
    <x v="0"/>
    <n v="37.4"/>
    <n v="10.6"/>
    <n v="4"/>
    <x v="2"/>
    <x v="0"/>
    <x v="0"/>
    <x v="1"/>
  </r>
  <r>
    <n v="1145"/>
    <x v="122"/>
    <x v="1"/>
    <x v="49"/>
    <x v="0"/>
    <s v="Diabetes"/>
    <x v="18"/>
    <x v="0"/>
    <n v="36.9"/>
    <n v="7.7"/>
    <n v="0"/>
    <x v="0"/>
    <x v="1"/>
    <x v="0"/>
    <x v="0"/>
  </r>
  <r>
    <n v="1146"/>
    <x v="123"/>
    <x v="1"/>
    <x v="50"/>
    <x v="0"/>
    <s v="Gastroenteritis"/>
    <x v="50"/>
    <x v="0"/>
    <n v="37.4"/>
    <n v="8.6999999999999993"/>
    <n v="1"/>
    <x v="0"/>
    <x v="0"/>
    <x v="1"/>
    <x v="9"/>
  </r>
  <r>
    <n v="1147"/>
    <x v="124"/>
    <x v="1"/>
    <x v="37"/>
    <x v="6"/>
    <s v="Diabetes"/>
    <x v="64"/>
    <x v="0"/>
    <n v="37.299999999999997"/>
    <n v="7.9"/>
    <n v="4"/>
    <x v="0"/>
    <x v="1"/>
    <x v="1"/>
    <x v="7"/>
  </r>
  <r>
    <n v="1148"/>
    <x v="124"/>
    <x v="0"/>
    <x v="11"/>
    <x v="5"/>
    <s v="Diabetes"/>
    <x v="37"/>
    <x v="0"/>
    <n v="37.200000000000003"/>
    <n v="7.6"/>
    <n v="13"/>
    <x v="0"/>
    <x v="1"/>
    <x v="1"/>
    <x v="7"/>
  </r>
  <r>
    <n v="1149"/>
    <x v="125"/>
    <x v="1"/>
    <x v="6"/>
    <x v="3"/>
    <s v="Hypertension"/>
    <x v="59"/>
    <x v="0"/>
    <n v="37.4"/>
    <n v="9.3000000000000007"/>
    <n v="0"/>
    <x v="0"/>
    <x v="0"/>
    <x v="1"/>
    <x v="13"/>
  </r>
  <r>
    <n v="1150"/>
    <x v="126"/>
    <x v="0"/>
    <x v="15"/>
    <x v="0"/>
    <s v="Respiratory infection"/>
    <x v="65"/>
    <x v="0"/>
    <n v="37.4"/>
    <n v="10.9"/>
    <n v="2"/>
    <x v="2"/>
    <x v="1"/>
    <x v="0"/>
    <x v="10"/>
  </r>
  <r>
    <n v="1151"/>
    <x v="127"/>
    <x v="0"/>
    <x v="15"/>
    <x v="2"/>
    <s v="Diabetes"/>
    <x v="34"/>
    <x v="0"/>
    <n v="37"/>
    <n v="9.1"/>
    <n v="4"/>
    <x v="0"/>
    <x v="1"/>
    <x v="0"/>
    <x v="11"/>
  </r>
  <r>
    <n v="1152"/>
    <x v="66"/>
    <x v="1"/>
    <x v="8"/>
    <x v="0"/>
    <s v="Hypertension"/>
    <x v="66"/>
    <x v="0"/>
    <n v="37"/>
    <n v="7.6"/>
    <n v="2"/>
    <x v="0"/>
    <x v="0"/>
    <x v="1"/>
    <x v="2"/>
  </r>
  <r>
    <n v="1153"/>
    <x v="128"/>
    <x v="1"/>
    <x v="15"/>
    <x v="0"/>
    <s v="Malaria"/>
    <x v="67"/>
    <x v="0"/>
    <n v="36.9"/>
    <n v="6.1"/>
    <n v="0"/>
    <x v="1"/>
    <x v="0"/>
    <x v="0"/>
    <x v="7"/>
  </r>
  <r>
    <n v="1154"/>
    <x v="129"/>
    <x v="0"/>
    <x v="24"/>
    <x v="2"/>
    <s v="Gastroenteritis"/>
    <x v="7"/>
    <x v="0"/>
    <n v="37"/>
    <n v="7.8"/>
    <n v="9"/>
    <x v="1"/>
    <x v="0"/>
    <x v="0"/>
    <x v="13"/>
  </r>
  <r>
    <n v="1155"/>
    <x v="130"/>
    <x v="1"/>
    <x v="20"/>
    <x v="4"/>
    <s v="Malaria"/>
    <x v="13"/>
    <x v="1"/>
    <n v="38.6"/>
    <n v="9.9"/>
    <n v="4"/>
    <x v="1"/>
    <x v="0"/>
    <x v="1"/>
    <x v="4"/>
  </r>
  <r>
    <n v="1156"/>
    <x v="131"/>
    <x v="1"/>
    <x v="3"/>
    <x v="3"/>
    <s v="Diabetes"/>
    <x v="3"/>
    <x v="0"/>
    <n v="37.5"/>
    <n v="8.4"/>
    <n v="0"/>
    <x v="1"/>
    <x v="0"/>
    <x v="1"/>
    <x v="7"/>
  </r>
  <r>
    <n v="1157"/>
    <x v="105"/>
    <x v="0"/>
    <x v="3"/>
    <x v="0"/>
    <s v="Malaria"/>
    <x v="68"/>
    <x v="0"/>
    <n v="36.9"/>
    <n v="7.7"/>
    <n v="2"/>
    <x v="0"/>
    <x v="1"/>
    <x v="1"/>
    <x v="0"/>
  </r>
  <r>
    <n v="1158"/>
    <x v="50"/>
    <x v="0"/>
    <x v="24"/>
    <x v="0"/>
    <s v="Hypertension"/>
    <x v="23"/>
    <x v="1"/>
    <n v="37.9"/>
    <n v="6.1"/>
    <n v="0"/>
    <x v="1"/>
    <x v="0"/>
    <x v="0"/>
    <x v="10"/>
  </r>
  <r>
    <n v="1159"/>
    <x v="36"/>
    <x v="0"/>
    <x v="44"/>
    <x v="6"/>
    <s v="Anemia"/>
    <x v="69"/>
    <x v="1"/>
    <n v="37.5"/>
    <n v="7.5"/>
    <n v="2"/>
    <x v="2"/>
    <x v="1"/>
    <x v="1"/>
    <x v="13"/>
  </r>
  <r>
    <n v="1160"/>
    <x v="132"/>
    <x v="0"/>
    <x v="18"/>
    <x v="2"/>
    <s v="Malaria"/>
    <x v="33"/>
    <x v="0"/>
    <n v="37.6"/>
    <n v="6.7"/>
    <n v="7"/>
    <x v="0"/>
    <x v="0"/>
    <x v="0"/>
    <x v="3"/>
  </r>
  <r>
    <n v="1161"/>
    <x v="133"/>
    <x v="1"/>
    <x v="41"/>
    <x v="0"/>
    <s v="Respiratory infection"/>
    <x v="3"/>
    <x v="0"/>
    <n v="38.1"/>
    <n v="8.1999999999999993"/>
    <n v="1"/>
    <x v="1"/>
    <x v="0"/>
    <x v="0"/>
    <x v="4"/>
  </r>
  <r>
    <n v="1162"/>
    <x v="70"/>
    <x v="1"/>
    <x v="14"/>
    <x v="0"/>
    <s v="Respiratory infection"/>
    <x v="59"/>
    <x v="0"/>
    <n v="36.5"/>
    <n v="10.7"/>
    <n v="0"/>
    <x v="0"/>
    <x v="0"/>
    <x v="0"/>
    <x v="3"/>
  </r>
  <r>
    <n v="1163"/>
    <x v="15"/>
    <x v="1"/>
    <x v="38"/>
    <x v="3"/>
    <s v="Respiratory infection"/>
    <x v="44"/>
    <x v="0"/>
    <n v="37.1"/>
    <n v="14.6"/>
    <n v="0"/>
    <x v="0"/>
    <x v="0"/>
    <x v="1"/>
    <x v="8"/>
  </r>
  <r>
    <n v="1164"/>
    <x v="134"/>
    <x v="0"/>
    <x v="32"/>
    <x v="1"/>
    <s v="Gastroenteritis"/>
    <x v="7"/>
    <x v="0"/>
    <n v="37.1"/>
    <n v="7.8"/>
    <n v="4"/>
    <x v="0"/>
    <x v="0"/>
    <x v="1"/>
    <x v="13"/>
  </r>
  <r>
    <n v="1165"/>
    <x v="135"/>
    <x v="1"/>
    <x v="28"/>
    <x v="1"/>
    <s v="Diabetes"/>
    <x v="48"/>
    <x v="0"/>
    <n v="36.9"/>
    <n v="9.9"/>
    <n v="9"/>
    <x v="0"/>
    <x v="0"/>
    <x v="1"/>
    <x v="0"/>
  </r>
  <r>
    <n v="1166"/>
    <x v="136"/>
    <x v="1"/>
    <x v="8"/>
    <x v="0"/>
    <s v="Malaria"/>
    <x v="70"/>
    <x v="0"/>
    <n v="37.4"/>
    <n v="4.9000000000000004"/>
    <n v="2"/>
    <x v="0"/>
    <x v="0"/>
    <x v="1"/>
    <x v="12"/>
  </r>
  <r>
    <n v="1167"/>
    <x v="137"/>
    <x v="1"/>
    <x v="3"/>
    <x v="1"/>
    <s v="UTI"/>
    <x v="60"/>
    <x v="0"/>
    <n v="37"/>
    <n v="10.3"/>
    <n v="9"/>
    <x v="2"/>
    <x v="0"/>
    <x v="1"/>
    <x v="7"/>
  </r>
  <r>
    <n v="1168"/>
    <x v="119"/>
    <x v="1"/>
    <x v="51"/>
    <x v="1"/>
    <s v="UTI"/>
    <x v="8"/>
    <x v="0"/>
    <n v="37.5"/>
    <n v="8.6"/>
    <n v="1"/>
    <x v="0"/>
    <x v="0"/>
    <x v="0"/>
    <x v="7"/>
  </r>
  <r>
    <n v="1169"/>
    <x v="138"/>
    <x v="1"/>
    <x v="16"/>
    <x v="6"/>
    <s v="Respiratory infection"/>
    <x v="71"/>
    <x v="0"/>
    <n v="36.799999999999997"/>
    <n v="6.4"/>
    <n v="7"/>
    <x v="0"/>
    <x v="1"/>
    <x v="1"/>
    <x v="0"/>
  </r>
  <r>
    <n v="1170"/>
    <x v="139"/>
    <x v="1"/>
    <x v="3"/>
    <x v="0"/>
    <s v="Hypertension"/>
    <x v="10"/>
    <x v="1"/>
    <n v="36.9"/>
    <n v="7.1"/>
    <n v="2"/>
    <x v="2"/>
    <x v="0"/>
    <x v="1"/>
    <x v="11"/>
  </r>
  <r>
    <n v="1171"/>
    <x v="140"/>
    <x v="1"/>
    <x v="16"/>
    <x v="2"/>
    <s v="Gastroenteritis"/>
    <x v="72"/>
    <x v="0"/>
    <n v="37.799999999999997"/>
    <n v="6.8"/>
    <n v="7"/>
    <x v="0"/>
    <x v="0"/>
    <x v="1"/>
    <x v="2"/>
  </r>
  <r>
    <n v="1172"/>
    <x v="39"/>
    <x v="0"/>
    <x v="3"/>
    <x v="2"/>
    <s v="Typhoid"/>
    <x v="8"/>
    <x v="0"/>
    <n v="36.4"/>
    <n v="6.8"/>
    <n v="6"/>
    <x v="1"/>
    <x v="0"/>
    <x v="1"/>
    <x v="13"/>
  </r>
  <r>
    <n v="1173"/>
    <x v="60"/>
    <x v="1"/>
    <x v="3"/>
    <x v="3"/>
    <s v="Respiratory infection"/>
    <x v="50"/>
    <x v="1"/>
    <n v="37.200000000000003"/>
    <n v="13.8"/>
    <n v="2"/>
    <x v="1"/>
    <x v="0"/>
    <x v="1"/>
    <x v="12"/>
  </r>
  <r>
    <n v="1174"/>
    <x v="141"/>
    <x v="1"/>
    <x v="41"/>
    <x v="0"/>
    <s v="UTI"/>
    <x v="54"/>
    <x v="0"/>
    <n v="37.9"/>
    <n v="6.9"/>
    <n v="2"/>
    <x v="1"/>
    <x v="0"/>
    <x v="0"/>
    <x v="0"/>
  </r>
  <r>
    <n v="1175"/>
    <x v="83"/>
    <x v="1"/>
    <x v="32"/>
    <x v="3"/>
    <s v="Gastroenteritis"/>
    <x v="26"/>
    <x v="0"/>
    <n v="37.9"/>
    <n v="6.4"/>
    <n v="2"/>
    <x v="0"/>
    <x v="0"/>
    <x v="1"/>
    <x v="5"/>
  </r>
  <r>
    <n v="1176"/>
    <x v="65"/>
    <x v="1"/>
    <x v="3"/>
    <x v="6"/>
    <s v="Diabetes"/>
    <x v="36"/>
    <x v="0"/>
    <n v="36.200000000000003"/>
    <n v="8.6"/>
    <n v="10"/>
    <x v="0"/>
    <x v="0"/>
    <x v="1"/>
    <x v="7"/>
  </r>
  <r>
    <n v="1177"/>
    <x v="142"/>
    <x v="1"/>
    <x v="20"/>
    <x v="3"/>
    <s v="Malaria"/>
    <x v="30"/>
    <x v="0"/>
    <n v="36.799999999999997"/>
    <n v="9.4"/>
    <n v="2"/>
    <x v="2"/>
    <x v="0"/>
    <x v="1"/>
    <x v="6"/>
  </r>
  <r>
    <n v="1178"/>
    <x v="143"/>
    <x v="0"/>
    <x v="15"/>
    <x v="4"/>
    <s v="Respiratory infection"/>
    <x v="32"/>
    <x v="1"/>
    <n v="38.6"/>
    <n v="10.5"/>
    <n v="1"/>
    <x v="0"/>
    <x v="1"/>
    <x v="0"/>
    <x v="5"/>
  </r>
  <r>
    <n v="1179"/>
    <x v="144"/>
    <x v="1"/>
    <x v="39"/>
    <x v="6"/>
    <s v="Gastroenteritis"/>
    <x v="21"/>
    <x v="0"/>
    <n v="37.200000000000003"/>
    <n v="9.9"/>
    <n v="9"/>
    <x v="2"/>
    <x v="0"/>
    <x v="0"/>
    <x v="4"/>
  </r>
  <r>
    <n v="1180"/>
    <x v="145"/>
    <x v="1"/>
    <x v="37"/>
    <x v="3"/>
    <s v="Malaria"/>
    <x v="14"/>
    <x v="1"/>
    <n v="37.700000000000003"/>
    <n v="8.8000000000000007"/>
    <n v="1"/>
    <x v="1"/>
    <x v="0"/>
    <x v="1"/>
    <x v="12"/>
  </r>
  <r>
    <n v="1181"/>
    <x v="57"/>
    <x v="0"/>
    <x v="27"/>
    <x v="2"/>
    <s v="UTI"/>
    <x v="38"/>
    <x v="1"/>
    <n v="38.5"/>
    <n v="5.7"/>
    <n v="10"/>
    <x v="0"/>
    <x v="0"/>
    <x v="0"/>
    <x v="6"/>
  </r>
  <r>
    <n v="1182"/>
    <x v="146"/>
    <x v="1"/>
    <x v="19"/>
    <x v="3"/>
    <s v="Anemia"/>
    <x v="73"/>
    <x v="1"/>
    <n v="38.1"/>
    <n v="8.8000000000000007"/>
    <n v="2"/>
    <x v="2"/>
    <x v="1"/>
    <x v="1"/>
    <x v="13"/>
  </r>
  <r>
    <n v="1183"/>
    <x v="147"/>
    <x v="1"/>
    <x v="3"/>
    <x v="0"/>
    <s v="Hypertension"/>
    <x v="30"/>
    <x v="0"/>
    <n v="37.799999999999997"/>
    <n v="8.9"/>
    <n v="2"/>
    <x v="1"/>
    <x v="0"/>
    <x v="1"/>
    <x v="0"/>
  </r>
  <r>
    <n v="1184"/>
    <x v="148"/>
    <x v="1"/>
    <x v="6"/>
    <x v="6"/>
    <s v="Malaria"/>
    <x v="25"/>
    <x v="1"/>
    <n v="39.200000000000003"/>
    <n v="7.7"/>
    <n v="7"/>
    <x v="0"/>
    <x v="0"/>
    <x v="1"/>
    <x v="8"/>
  </r>
  <r>
    <n v="1185"/>
    <x v="149"/>
    <x v="0"/>
    <x v="3"/>
    <x v="3"/>
    <s v="Diabetes"/>
    <x v="58"/>
    <x v="0"/>
    <n v="36.5"/>
    <n v="9.1"/>
    <n v="1"/>
    <x v="0"/>
    <x v="1"/>
    <x v="1"/>
    <x v="3"/>
  </r>
  <r>
    <n v="1186"/>
    <x v="33"/>
    <x v="1"/>
    <x v="34"/>
    <x v="0"/>
    <s v="Anemia"/>
    <x v="24"/>
    <x v="1"/>
    <n v="39.1"/>
    <n v="9.6"/>
    <n v="0"/>
    <x v="0"/>
    <x v="1"/>
    <x v="1"/>
    <x v="4"/>
  </r>
  <r>
    <n v="1187"/>
    <x v="150"/>
    <x v="0"/>
    <x v="3"/>
    <x v="5"/>
    <s v="Malaria"/>
    <x v="65"/>
    <x v="0"/>
    <n v="37"/>
    <n v="6.4"/>
    <n v="17"/>
    <x v="0"/>
    <x v="1"/>
    <x v="1"/>
    <x v="8"/>
  </r>
  <r>
    <n v="1188"/>
    <x v="151"/>
    <x v="1"/>
    <x v="41"/>
    <x v="0"/>
    <s v="Anemia"/>
    <x v="50"/>
    <x v="0"/>
    <n v="37.6"/>
    <n v="7.5"/>
    <n v="2"/>
    <x v="1"/>
    <x v="0"/>
    <x v="0"/>
    <x v="10"/>
  </r>
  <r>
    <n v="1189"/>
    <x v="40"/>
    <x v="1"/>
    <x v="21"/>
    <x v="2"/>
    <s v="Anemia"/>
    <x v="37"/>
    <x v="1"/>
    <n v="39.200000000000003"/>
    <n v="8.8000000000000007"/>
    <n v="4"/>
    <x v="0"/>
    <x v="1"/>
    <x v="1"/>
    <x v="0"/>
  </r>
  <r>
    <n v="1190"/>
    <x v="100"/>
    <x v="1"/>
    <x v="3"/>
    <x v="3"/>
    <s v="Respiratory infection"/>
    <x v="37"/>
    <x v="0"/>
    <n v="37.200000000000003"/>
    <n v="5.7"/>
    <n v="1"/>
    <x v="0"/>
    <x v="1"/>
    <x v="1"/>
    <x v="8"/>
  </r>
  <r>
    <n v="1191"/>
    <x v="131"/>
    <x v="0"/>
    <x v="3"/>
    <x v="3"/>
    <s v="Respiratory infection"/>
    <x v="50"/>
    <x v="0"/>
    <n v="36.6"/>
    <n v="9.9"/>
    <n v="2"/>
    <x v="0"/>
    <x v="0"/>
    <x v="1"/>
    <x v="7"/>
  </r>
  <r>
    <n v="1192"/>
    <x v="152"/>
    <x v="1"/>
    <x v="31"/>
    <x v="2"/>
    <s v="Anemia"/>
    <x v="20"/>
    <x v="1"/>
    <n v="38.1"/>
    <n v="7"/>
    <n v="5"/>
    <x v="2"/>
    <x v="1"/>
    <x v="1"/>
    <x v="10"/>
  </r>
  <r>
    <n v="1193"/>
    <x v="153"/>
    <x v="0"/>
    <x v="24"/>
    <x v="2"/>
    <s v="Typhoid"/>
    <x v="34"/>
    <x v="0"/>
    <n v="36.5"/>
    <n v="11.7"/>
    <n v="5"/>
    <x v="2"/>
    <x v="1"/>
    <x v="0"/>
    <x v="3"/>
  </r>
  <r>
    <n v="1194"/>
    <x v="154"/>
    <x v="0"/>
    <x v="37"/>
    <x v="2"/>
    <s v="Malaria"/>
    <x v="20"/>
    <x v="1"/>
    <n v="37.200000000000003"/>
    <n v="11.5"/>
    <n v="7"/>
    <x v="0"/>
    <x v="1"/>
    <x v="1"/>
    <x v="3"/>
  </r>
  <r>
    <n v="1195"/>
    <x v="56"/>
    <x v="0"/>
    <x v="17"/>
    <x v="4"/>
    <s v="Respiratory infection"/>
    <x v="38"/>
    <x v="0"/>
    <n v="36.1"/>
    <n v="8.6"/>
    <n v="8"/>
    <x v="1"/>
    <x v="0"/>
    <x v="1"/>
    <x v="9"/>
  </r>
  <r>
    <n v="1196"/>
    <x v="29"/>
    <x v="1"/>
    <x v="51"/>
    <x v="2"/>
    <s v="Malaria"/>
    <x v="14"/>
    <x v="0"/>
    <n v="37.200000000000003"/>
    <n v="5.9"/>
    <n v="9"/>
    <x v="1"/>
    <x v="0"/>
    <x v="0"/>
    <x v="8"/>
  </r>
  <r>
    <n v="1197"/>
    <x v="85"/>
    <x v="0"/>
    <x v="39"/>
    <x v="3"/>
    <s v="Malaria"/>
    <x v="28"/>
    <x v="1"/>
    <n v="37.799999999999997"/>
    <n v="4.3"/>
    <n v="0"/>
    <x v="1"/>
    <x v="0"/>
    <x v="0"/>
    <x v="10"/>
  </r>
  <r>
    <n v="1198"/>
    <x v="155"/>
    <x v="1"/>
    <x v="39"/>
    <x v="0"/>
    <s v="Hypertension"/>
    <x v="26"/>
    <x v="1"/>
    <n v="37.4"/>
    <n v="11"/>
    <n v="2"/>
    <x v="0"/>
    <x v="0"/>
    <x v="0"/>
    <x v="4"/>
  </r>
  <r>
    <n v="1199"/>
    <x v="94"/>
    <x v="0"/>
    <x v="11"/>
    <x v="6"/>
    <s v="Respiratory infection"/>
    <x v="37"/>
    <x v="1"/>
    <n v="37.9"/>
    <n v="13.2"/>
    <n v="5"/>
    <x v="1"/>
    <x v="1"/>
    <x v="1"/>
    <x v="2"/>
  </r>
  <r>
    <n v="1200"/>
    <x v="156"/>
    <x v="0"/>
    <x v="11"/>
    <x v="3"/>
    <s v="Respiratory infection"/>
    <x v="8"/>
    <x v="1"/>
    <n v="39.9"/>
    <n v="9.1999999999999993"/>
    <n v="1"/>
    <x v="0"/>
    <x v="0"/>
    <x v="1"/>
    <x v="5"/>
  </r>
  <r>
    <n v="1201"/>
    <x v="157"/>
    <x v="1"/>
    <x v="44"/>
    <x v="5"/>
    <s v="UTI"/>
    <x v="61"/>
    <x v="0"/>
    <n v="36.799999999999997"/>
    <n v="10.6"/>
    <n v="12"/>
    <x v="2"/>
    <x v="0"/>
    <x v="1"/>
    <x v="9"/>
  </r>
  <r>
    <n v="1202"/>
    <x v="158"/>
    <x v="0"/>
    <x v="45"/>
    <x v="0"/>
    <s v="Respiratory infection"/>
    <x v="8"/>
    <x v="1"/>
    <n v="38.700000000000003"/>
    <n v="8.1"/>
    <n v="2"/>
    <x v="0"/>
    <x v="0"/>
    <x v="0"/>
    <x v="11"/>
  </r>
  <r>
    <n v="1203"/>
    <x v="23"/>
    <x v="0"/>
    <x v="8"/>
    <x v="1"/>
    <s v="Respiratory infection"/>
    <x v="20"/>
    <x v="0"/>
    <n v="37.9"/>
    <n v="12.4"/>
    <n v="5"/>
    <x v="0"/>
    <x v="1"/>
    <x v="1"/>
    <x v="6"/>
  </r>
  <r>
    <n v="1204"/>
    <x v="159"/>
    <x v="0"/>
    <x v="27"/>
    <x v="0"/>
    <s v="Malaria"/>
    <x v="20"/>
    <x v="1"/>
    <n v="38.799999999999997"/>
    <n v="7.4"/>
    <n v="2"/>
    <x v="0"/>
    <x v="1"/>
    <x v="0"/>
    <x v="3"/>
  </r>
  <r>
    <n v="1205"/>
    <x v="77"/>
    <x v="1"/>
    <x v="12"/>
    <x v="5"/>
    <s v="Malaria"/>
    <x v="34"/>
    <x v="1"/>
    <n v="38.1"/>
    <n v="11.7"/>
    <n v="16"/>
    <x v="0"/>
    <x v="1"/>
    <x v="1"/>
    <x v="11"/>
  </r>
  <r>
    <n v="1206"/>
    <x v="130"/>
    <x v="1"/>
    <x v="23"/>
    <x v="3"/>
    <s v="Respiratory infection"/>
    <x v="11"/>
    <x v="0"/>
    <n v="35.799999999999997"/>
    <n v="9.6"/>
    <n v="1"/>
    <x v="1"/>
    <x v="0"/>
    <x v="1"/>
    <x v="4"/>
  </r>
  <r>
    <n v="1207"/>
    <x v="139"/>
    <x v="1"/>
    <x v="2"/>
    <x v="1"/>
    <s v="UTI"/>
    <x v="13"/>
    <x v="0"/>
    <n v="36.200000000000003"/>
    <n v="8"/>
    <n v="3"/>
    <x v="2"/>
    <x v="0"/>
    <x v="1"/>
    <x v="11"/>
  </r>
  <r>
    <n v="1208"/>
    <x v="64"/>
    <x v="1"/>
    <x v="44"/>
    <x v="1"/>
    <s v="UTI"/>
    <x v="3"/>
    <x v="0"/>
    <n v="36.4"/>
    <n v="11.1"/>
    <n v="3"/>
    <x v="0"/>
    <x v="0"/>
    <x v="1"/>
    <x v="13"/>
  </r>
  <r>
    <n v="1209"/>
    <x v="160"/>
    <x v="1"/>
    <x v="12"/>
    <x v="2"/>
    <s v="Anemia"/>
    <x v="74"/>
    <x v="1"/>
    <n v="37.6"/>
    <n v="7.6"/>
    <n v="5"/>
    <x v="0"/>
    <x v="1"/>
    <x v="1"/>
    <x v="13"/>
  </r>
  <r>
    <n v="1210"/>
    <x v="91"/>
    <x v="0"/>
    <x v="26"/>
    <x v="6"/>
    <s v="Gastroenteritis"/>
    <x v="7"/>
    <x v="1"/>
    <n v="37.9"/>
    <n v="6"/>
    <n v="8"/>
    <x v="0"/>
    <x v="0"/>
    <x v="1"/>
    <x v="8"/>
  </r>
  <r>
    <n v="1211"/>
    <x v="49"/>
    <x v="0"/>
    <x v="3"/>
    <x v="2"/>
    <s v="Hypertension"/>
    <x v="64"/>
    <x v="1"/>
    <n v="36.9"/>
    <n v="7.3"/>
    <n v="2"/>
    <x v="2"/>
    <x v="1"/>
    <x v="1"/>
    <x v="1"/>
  </r>
  <r>
    <n v="1212"/>
    <x v="161"/>
    <x v="1"/>
    <x v="35"/>
    <x v="5"/>
    <s v="UTI"/>
    <x v="1"/>
    <x v="0"/>
    <n v="37.700000000000003"/>
    <n v="11.6"/>
    <n v="15"/>
    <x v="0"/>
    <x v="0"/>
    <x v="1"/>
    <x v="12"/>
  </r>
  <r>
    <n v="1213"/>
    <x v="116"/>
    <x v="0"/>
    <x v="35"/>
    <x v="0"/>
    <s v="Diabetes"/>
    <x v="20"/>
    <x v="1"/>
    <n v="38.1"/>
    <n v="8.5"/>
    <n v="2"/>
    <x v="2"/>
    <x v="1"/>
    <x v="1"/>
    <x v="4"/>
  </r>
  <r>
    <n v="1214"/>
    <x v="94"/>
    <x v="1"/>
    <x v="13"/>
    <x v="0"/>
    <s v="Typhoid"/>
    <x v="20"/>
    <x v="0"/>
    <n v="36.299999999999997"/>
    <n v="7.3"/>
    <n v="1"/>
    <x v="1"/>
    <x v="1"/>
    <x v="0"/>
    <x v="2"/>
  </r>
  <r>
    <n v="1215"/>
    <x v="162"/>
    <x v="0"/>
    <x v="7"/>
    <x v="1"/>
    <s v="Malaria"/>
    <x v="51"/>
    <x v="0"/>
    <n v="37"/>
    <n v="9.6"/>
    <n v="8"/>
    <x v="3"/>
    <x v="0"/>
    <x v="1"/>
    <x v="4"/>
  </r>
  <r>
    <n v="1216"/>
    <x v="163"/>
    <x v="1"/>
    <x v="2"/>
    <x v="0"/>
    <s v="Typhoid"/>
    <x v="67"/>
    <x v="1"/>
    <n v="37.5"/>
    <n v="9"/>
    <n v="1"/>
    <x v="0"/>
    <x v="0"/>
    <x v="1"/>
    <x v="5"/>
  </r>
  <r>
    <n v="1217"/>
    <x v="164"/>
    <x v="0"/>
    <x v="3"/>
    <x v="3"/>
    <s v="Malaria"/>
    <x v="32"/>
    <x v="0"/>
    <n v="37.1"/>
    <n v="11.6"/>
    <n v="0"/>
    <x v="0"/>
    <x v="1"/>
    <x v="1"/>
    <x v="11"/>
  </r>
  <r>
    <n v="1218"/>
    <x v="34"/>
    <x v="0"/>
    <x v="33"/>
    <x v="6"/>
    <s v="Diabetes"/>
    <x v="20"/>
    <x v="0"/>
    <n v="37.1"/>
    <n v="10.1"/>
    <n v="6"/>
    <x v="0"/>
    <x v="1"/>
    <x v="0"/>
    <x v="6"/>
  </r>
  <r>
    <n v="1219"/>
    <x v="58"/>
    <x v="0"/>
    <x v="38"/>
    <x v="6"/>
    <s v="Anemia"/>
    <x v="41"/>
    <x v="0"/>
    <n v="37.5"/>
    <n v="6.8"/>
    <n v="6"/>
    <x v="0"/>
    <x v="1"/>
    <x v="1"/>
    <x v="2"/>
  </r>
  <r>
    <n v="1220"/>
    <x v="165"/>
    <x v="1"/>
    <x v="3"/>
    <x v="2"/>
    <s v="Malaria"/>
    <x v="50"/>
    <x v="1"/>
    <n v="38.6"/>
    <n v="7.4"/>
    <n v="10"/>
    <x v="2"/>
    <x v="0"/>
    <x v="1"/>
    <x v="4"/>
  </r>
  <r>
    <n v="1221"/>
    <x v="166"/>
    <x v="1"/>
    <x v="15"/>
    <x v="2"/>
    <s v="Gastroenteritis"/>
    <x v="32"/>
    <x v="0"/>
    <n v="36.700000000000003"/>
    <n v="8.9"/>
    <n v="4"/>
    <x v="2"/>
    <x v="1"/>
    <x v="0"/>
    <x v="11"/>
  </r>
  <r>
    <n v="1222"/>
    <x v="167"/>
    <x v="1"/>
    <x v="7"/>
    <x v="6"/>
    <s v="Typhoid"/>
    <x v="40"/>
    <x v="0"/>
    <n v="36.9"/>
    <n v="5.6"/>
    <n v="6"/>
    <x v="2"/>
    <x v="0"/>
    <x v="1"/>
    <x v="11"/>
  </r>
  <r>
    <n v="1223"/>
    <x v="168"/>
    <x v="1"/>
    <x v="23"/>
    <x v="3"/>
    <s v="Malaria"/>
    <x v="21"/>
    <x v="1"/>
    <n v="37.4"/>
    <n v="8.1999999999999993"/>
    <n v="2"/>
    <x v="1"/>
    <x v="0"/>
    <x v="1"/>
    <x v="6"/>
  </r>
  <r>
    <n v="1224"/>
    <x v="94"/>
    <x v="0"/>
    <x v="50"/>
    <x v="3"/>
    <s v="Anemia"/>
    <x v="73"/>
    <x v="0"/>
    <n v="36.799999999999997"/>
    <n v="6.7"/>
    <n v="0"/>
    <x v="0"/>
    <x v="1"/>
    <x v="1"/>
    <x v="2"/>
  </r>
  <r>
    <n v="1225"/>
    <x v="122"/>
    <x v="0"/>
    <x v="21"/>
    <x v="2"/>
    <s v="Respiratory infection"/>
    <x v="33"/>
    <x v="0"/>
    <n v="37.299999999999997"/>
    <n v="10.1"/>
    <n v="5"/>
    <x v="1"/>
    <x v="0"/>
    <x v="1"/>
    <x v="0"/>
  </r>
  <r>
    <n v="1226"/>
    <x v="79"/>
    <x v="1"/>
    <x v="35"/>
    <x v="0"/>
    <s v="Respiratory infection"/>
    <x v="52"/>
    <x v="1"/>
    <n v="37.299999999999997"/>
    <n v="9.9"/>
    <n v="0"/>
    <x v="1"/>
    <x v="1"/>
    <x v="1"/>
    <x v="13"/>
  </r>
  <r>
    <n v="1227"/>
    <x v="169"/>
    <x v="1"/>
    <x v="52"/>
    <x v="1"/>
    <s v="Anemia"/>
    <x v="55"/>
    <x v="1"/>
    <n v="38.9"/>
    <n v="9.4"/>
    <n v="1"/>
    <x v="0"/>
    <x v="1"/>
    <x v="0"/>
    <x v="1"/>
  </r>
  <r>
    <n v="1228"/>
    <x v="170"/>
    <x v="0"/>
    <x v="26"/>
    <x v="3"/>
    <s v="Malaria"/>
    <x v="23"/>
    <x v="0"/>
    <n v="36.6"/>
    <n v="9.6999999999999993"/>
    <n v="2"/>
    <x v="0"/>
    <x v="0"/>
    <x v="1"/>
    <x v="11"/>
  </r>
  <r>
    <n v="1229"/>
    <x v="171"/>
    <x v="0"/>
    <x v="22"/>
    <x v="1"/>
    <s v="Diabetes"/>
    <x v="75"/>
    <x v="1"/>
    <n v="37.4"/>
    <n v="8.6"/>
    <n v="3"/>
    <x v="1"/>
    <x v="1"/>
    <x v="1"/>
    <x v="5"/>
  </r>
  <r>
    <n v="1230"/>
    <x v="172"/>
    <x v="0"/>
    <x v="15"/>
    <x v="1"/>
    <s v="Gastroenteritis"/>
    <x v="65"/>
    <x v="0"/>
    <n v="36.299999999999997"/>
    <n v="5.7"/>
    <n v="5"/>
    <x v="0"/>
    <x v="1"/>
    <x v="0"/>
    <x v="7"/>
  </r>
  <r>
    <n v="1231"/>
    <x v="173"/>
    <x v="0"/>
    <x v="45"/>
    <x v="2"/>
    <s v="Diabetes"/>
    <x v="19"/>
    <x v="0"/>
    <n v="37.700000000000003"/>
    <n v="8.6"/>
    <n v="1"/>
    <x v="0"/>
    <x v="0"/>
    <x v="0"/>
    <x v="4"/>
  </r>
  <r>
    <n v="1232"/>
    <x v="72"/>
    <x v="0"/>
    <x v="21"/>
    <x v="5"/>
    <s v="Typhoid"/>
    <x v="25"/>
    <x v="0"/>
    <n v="37.1"/>
    <n v="8"/>
    <n v="9"/>
    <x v="0"/>
    <x v="0"/>
    <x v="1"/>
    <x v="6"/>
  </r>
  <r>
    <n v="1233"/>
    <x v="174"/>
    <x v="1"/>
    <x v="38"/>
    <x v="6"/>
    <s v="Hypertension"/>
    <x v="30"/>
    <x v="0"/>
    <n v="36.5"/>
    <n v="7.1"/>
    <n v="4"/>
    <x v="1"/>
    <x v="0"/>
    <x v="1"/>
    <x v="13"/>
  </r>
  <r>
    <n v="1234"/>
    <x v="175"/>
    <x v="0"/>
    <x v="33"/>
    <x v="3"/>
    <s v="Diabetes"/>
    <x v="46"/>
    <x v="1"/>
    <n v="38.799999999999997"/>
    <n v="8.8000000000000007"/>
    <n v="1"/>
    <x v="1"/>
    <x v="1"/>
    <x v="0"/>
    <x v="8"/>
  </r>
  <r>
    <n v="1235"/>
    <x v="19"/>
    <x v="1"/>
    <x v="3"/>
    <x v="4"/>
    <s v="Gastroenteritis"/>
    <x v="76"/>
    <x v="1"/>
    <n v="38"/>
    <n v="9.8000000000000007"/>
    <n v="4"/>
    <x v="0"/>
    <x v="0"/>
    <x v="1"/>
    <x v="0"/>
  </r>
  <r>
    <n v="1236"/>
    <x v="71"/>
    <x v="0"/>
    <x v="30"/>
    <x v="1"/>
    <s v="Malaria"/>
    <x v="3"/>
    <x v="0"/>
    <n v="37.299999999999997"/>
    <n v="6.2"/>
    <n v="3"/>
    <x v="0"/>
    <x v="0"/>
    <x v="0"/>
    <x v="5"/>
  </r>
  <r>
    <n v="1237"/>
    <x v="176"/>
    <x v="1"/>
    <x v="23"/>
    <x v="1"/>
    <s v="Diabetes"/>
    <x v="31"/>
    <x v="1"/>
    <n v="38.200000000000003"/>
    <n v="3.3"/>
    <n v="6"/>
    <x v="1"/>
    <x v="0"/>
    <x v="1"/>
    <x v="0"/>
  </r>
  <r>
    <n v="1238"/>
    <x v="177"/>
    <x v="1"/>
    <x v="39"/>
    <x v="0"/>
    <s v="Malaria"/>
    <x v="21"/>
    <x v="0"/>
    <n v="38.299999999999997"/>
    <n v="7.8"/>
    <n v="0"/>
    <x v="0"/>
    <x v="0"/>
    <x v="0"/>
    <x v="5"/>
  </r>
  <r>
    <n v="1239"/>
    <x v="122"/>
    <x v="1"/>
    <x v="12"/>
    <x v="3"/>
    <s v="Respiratory infection"/>
    <x v="8"/>
    <x v="0"/>
    <n v="36.5"/>
    <n v="6.3"/>
    <n v="2"/>
    <x v="0"/>
    <x v="0"/>
    <x v="1"/>
    <x v="0"/>
  </r>
  <r>
    <n v="1240"/>
    <x v="178"/>
    <x v="0"/>
    <x v="38"/>
    <x v="1"/>
    <s v="Typhoid"/>
    <x v="4"/>
    <x v="0"/>
    <n v="37.1"/>
    <n v="7.8"/>
    <n v="6"/>
    <x v="0"/>
    <x v="0"/>
    <x v="1"/>
    <x v="6"/>
  </r>
  <r>
    <n v="1241"/>
    <x v="179"/>
    <x v="0"/>
    <x v="30"/>
    <x v="1"/>
    <s v="Gastroenteritis"/>
    <x v="3"/>
    <x v="0"/>
    <n v="37.700000000000003"/>
    <n v="7.4"/>
    <n v="8"/>
    <x v="0"/>
    <x v="0"/>
    <x v="0"/>
    <x v="12"/>
  </r>
  <r>
    <n v="1242"/>
    <x v="150"/>
    <x v="0"/>
    <x v="23"/>
    <x v="2"/>
    <s v="Malaria"/>
    <x v="34"/>
    <x v="1"/>
    <n v="38.1"/>
    <n v="8.1999999999999993"/>
    <n v="9"/>
    <x v="0"/>
    <x v="1"/>
    <x v="1"/>
    <x v="8"/>
  </r>
  <r>
    <n v="1243"/>
    <x v="141"/>
    <x v="0"/>
    <x v="3"/>
    <x v="2"/>
    <s v="Diabetes"/>
    <x v="9"/>
    <x v="0"/>
    <n v="36.9"/>
    <n v="5.3"/>
    <n v="6"/>
    <x v="0"/>
    <x v="1"/>
    <x v="1"/>
    <x v="0"/>
  </r>
  <r>
    <n v="1244"/>
    <x v="180"/>
    <x v="1"/>
    <x v="35"/>
    <x v="5"/>
    <s v="Malaria"/>
    <x v="30"/>
    <x v="0"/>
    <n v="37.4"/>
    <n v="6.7"/>
    <n v="15"/>
    <x v="1"/>
    <x v="0"/>
    <x v="1"/>
    <x v="2"/>
  </r>
  <r>
    <n v="1245"/>
    <x v="181"/>
    <x v="1"/>
    <x v="51"/>
    <x v="0"/>
    <s v="Anemia"/>
    <x v="74"/>
    <x v="0"/>
    <n v="36.5"/>
    <n v="6.9"/>
    <n v="2"/>
    <x v="0"/>
    <x v="1"/>
    <x v="0"/>
    <x v="11"/>
  </r>
  <r>
    <n v="1246"/>
    <x v="56"/>
    <x v="0"/>
    <x v="8"/>
    <x v="3"/>
    <s v="Hypertension"/>
    <x v="33"/>
    <x v="0"/>
    <n v="37.4"/>
    <n v="6"/>
    <n v="0"/>
    <x v="0"/>
    <x v="0"/>
    <x v="1"/>
    <x v="9"/>
  </r>
  <r>
    <n v="1247"/>
    <x v="182"/>
    <x v="1"/>
    <x v="24"/>
    <x v="6"/>
    <s v="Gastroenteritis"/>
    <x v="0"/>
    <x v="0"/>
    <n v="37"/>
    <n v="5.8"/>
    <n v="8"/>
    <x v="0"/>
    <x v="0"/>
    <x v="0"/>
    <x v="12"/>
  </r>
  <r>
    <n v="1248"/>
    <x v="183"/>
    <x v="1"/>
    <x v="45"/>
    <x v="1"/>
    <s v="UTI"/>
    <x v="77"/>
    <x v="0"/>
    <n v="37.200000000000003"/>
    <n v="7.2"/>
    <n v="3"/>
    <x v="1"/>
    <x v="0"/>
    <x v="0"/>
    <x v="3"/>
  </r>
  <r>
    <n v="1249"/>
    <x v="184"/>
    <x v="0"/>
    <x v="52"/>
    <x v="0"/>
    <s v="Respiratory infection"/>
    <x v="64"/>
    <x v="0"/>
    <n v="37.1"/>
    <n v="7.7"/>
    <n v="0"/>
    <x v="1"/>
    <x v="1"/>
    <x v="0"/>
    <x v="8"/>
  </r>
  <r>
    <n v="1250"/>
    <x v="185"/>
    <x v="1"/>
    <x v="33"/>
    <x v="3"/>
    <s v="Malaria"/>
    <x v="55"/>
    <x v="1"/>
    <n v="37.799999999999997"/>
    <n v="5.2"/>
    <n v="1"/>
    <x v="1"/>
    <x v="1"/>
    <x v="0"/>
    <x v="7"/>
  </r>
  <r>
    <n v="1251"/>
    <x v="186"/>
    <x v="0"/>
    <x v="12"/>
    <x v="0"/>
    <s v="UTI"/>
    <x v="22"/>
    <x v="0"/>
    <n v="36.5"/>
    <n v="9.1999999999999993"/>
    <n v="2"/>
    <x v="0"/>
    <x v="1"/>
    <x v="1"/>
    <x v="2"/>
  </r>
  <r>
    <n v="1252"/>
    <x v="187"/>
    <x v="1"/>
    <x v="8"/>
    <x v="3"/>
    <s v="UTI"/>
    <x v="21"/>
    <x v="0"/>
    <n v="37.5"/>
    <n v="6.2"/>
    <n v="1"/>
    <x v="2"/>
    <x v="0"/>
    <x v="1"/>
    <x v="3"/>
  </r>
  <r>
    <n v="1253"/>
    <x v="91"/>
    <x v="1"/>
    <x v="51"/>
    <x v="0"/>
    <s v="Hypertension"/>
    <x v="14"/>
    <x v="0"/>
    <n v="36.4"/>
    <n v="11.1"/>
    <n v="1"/>
    <x v="0"/>
    <x v="0"/>
    <x v="0"/>
    <x v="8"/>
  </r>
  <r>
    <n v="1254"/>
    <x v="129"/>
    <x v="0"/>
    <x v="51"/>
    <x v="3"/>
    <s v="UTI"/>
    <x v="29"/>
    <x v="0"/>
    <n v="38.5"/>
    <n v="8.1999999999999993"/>
    <n v="2"/>
    <x v="0"/>
    <x v="0"/>
    <x v="0"/>
    <x v="13"/>
  </r>
  <r>
    <n v="1255"/>
    <x v="103"/>
    <x v="1"/>
    <x v="9"/>
    <x v="3"/>
    <s v="Respiratory infection"/>
    <x v="50"/>
    <x v="0"/>
    <n v="36.200000000000003"/>
    <n v="10.9"/>
    <n v="1"/>
    <x v="1"/>
    <x v="0"/>
    <x v="1"/>
    <x v="1"/>
  </r>
  <r>
    <n v="1256"/>
    <x v="83"/>
    <x v="1"/>
    <x v="18"/>
    <x v="4"/>
    <s v="Respiratory infection"/>
    <x v="68"/>
    <x v="0"/>
    <n v="36.9"/>
    <n v="7"/>
    <n v="7"/>
    <x v="2"/>
    <x v="1"/>
    <x v="0"/>
    <x v="5"/>
  </r>
  <r>
    <n v="1257"/>
    <x v="61"/>
    <x v="0"/>
    <x v="3"/>
    <x v="2"/>
    <s v="Malaria"/>
    <x v="43"/>
    <x v="1"/>
    <n v="38.5"/>
    <n v="10.6"/>
    <n v="10"/>
    <x v="1"/>
    <x v="0"/>
    <x v="1"/>
    <x v="10"/>
  </r>
  <r>
    <n v="1258"/>
    <x v="15"/>
    <x v="0"/>
    <x v="39"/>
    <x v="0"/>
    <s v="Anemia"/>
    <x v="78"/>
    <x v="0"/>
    <n v="35.9"/>
    <n v="8.4"/>
    <n v="1"/>
    <x v="0"/>
    <x v="1"/>
    <x v="0"/>
    <x v="8"/>
  </r>
  <r>
    <n v="1259"/>
    <x v="155"/>
    <x v="1"/>
    <x v="32"/>
    <x v="1"/>
    <s v="Malaria"/>
    <x v="3"/>
    <x v="1"/>
    <n v="37.6"/>
    <n v="10"/>
    <n v="5"/>
    <x v="1"/>
    <x v="0"/>
    <x v="1"/>
    <x v="4"/>
  </r>
  <r>
    <n v="1260"/>
    <x v="188"/>
    <x v="1"/>
    <x v="9"/>
    <x v="3"/>
    <s v="Malaria"/>
    <x v="55"/>
    <x v="1"/>
    <n v="36.9"/>
    <n v="7.2"/>
    <n v="1"/>
    <x v="0"/>
    <x v="1"/>
    <x v="1"/>
    <x v="6"/>
  </r>
  <r>
    <n v="1261"/>
    <x v="31"/>
    <x v="0"/>
    <x v="22"/>
    <x v="0"/>
    <s v="Malaria"/>
    <x v="37"/>
    <x v="0"/>
    <n v="37.1"/>
    <n v="7"/>
    <n v="0"/>
    <x v="1"/>
    <x v="1"/>
    <x v="1"/>
    <x v="11"/>
  </r>
  <r>
    <n v="1262"/>
    <x v="152"/>
    <x v="1"/>
    <x v="47"/>
    <x v="3"/>
    <s v="Anemia"/>
    <x v="24"/>
    <x v="1"/>
    <n v="38.200000000000003"/>
    <n v="6.6"/>
    <n v="0"/>
    <x v="2"/>
    <x v="1"/>
    <x v="0"/>
    <x v="10"/>
  </r>
  <r>
    <n v="1263"/>
    <x v="103"/>
    <x v="0"/>
    <x v="48"/>
    <x v="2"/>
    <s v="Malaria"/>
    <x v="79"/>
    <x v="1"/>
    <n v="38"/>
    <n v="3.5"/>
    <n v="9"/>
    <x v="0"/>
    <x v="1"/>
    <x v="0"/>
    <x v="1"/>
  </r>
  <r>
    <n v="1264"/>
    <x v="189"/>
    <x v="1"/>
    <x v="2"/>
    <x v="0"/>
    <s v="Malaria"/>
    <x v="0"/>
    <x v="1"/>
    <n v="39.1"/>
    <n v="5.3"/>
    <n v="0"/>
    <x v="2"/>
    <x v="0"/>
    <x v="1"/>
    <x v="9"/>
  </r>
  <r>
    <n v="1265"/>
    <x v="2"/>
    <x v="1"/>
    <x v="33"/>
    <x v="0"/>
    <s v="Typhoid"/>
    <x v="8"/>
    <x v="0"/>
    <n v="37.700000000000003"/>
    <n v="10.3"/>
    <n v="1"/>
    <x v="0"/>
    <x v="0"/>
    <x v="0"/>
    <x v="2"/>
  </r>
  <r>
    <n v="1266"/>
    <x v="175"/>
    <x v="1"/>
    <x v="0"/>
    <x v="5"/>
    <s v="Respiratory infection"/>
    <x v="37"/>
    <x v="1"/>
    <n v="38.6"/>
    <n v="7.8"/>
    <n v="7"/>
    <x v="0"/>
    <x v="1"/>
    <x v="0"/>
    <x v="8"/>
  </r>
  <r>
    <n v="1267"/>
    <x v="170"/>
    <x v="1"/>
    <x v="22"/>
    <x v="0"/>
    <s v="Diabetes"/>
    <x v="51"/>
    <x v="0"/>
    <n v="37.700000000000003"/>
    <n v="6.5"/>
    <n v="1"/>
    <x v="0"/>
    <x v="0"/>
    <x v="1"/>
    <x v="11"/>
  </r>
  <r>
    <n v="1268"/>
    <x v="112"/>
    <x v="0"/>
    <x v="33"/>
    <x v="1"/>
    <s v="Hypertension"/>
    <x v="19"/>
    <x v="0"/>
    <n v="36.799999999999997"/>
    <n v="7.3"/>
    <n v="3"/>
    <x v="1"/>
    <x v="0"/>
    <x v="0"/>
    <x v="4"/>
  </r>
  <r>
    <n v="1269"/>
    <x v="190"/>
    <x v="0"/>
    <x v="24"/>
    <x v="1"/>
    <s v="Diabetes"/>
    <x v="38"/>
    <x v="0"/>
    <n v="37.799999999999997"/>
    <n v="6.4"/>
    <n v="1"/>
    <x v="0"/>
    <x v="0"/>
    <x v="0"/>
    <x v="9"/>
  </r>
  <r>
    <n v="1270"/>
    <x v="191"/>
    <x v="1"/>
    <x v="18"/>
    <x v="0"/>
    <s v="Malaria"/>
    <x v="47"/>
    <x v="0"/>
    <n v="37.6"/>
    <n v="9.1"/>
    <n v="0"/>
    <x v="1"/>
    <x v="0"/>
    <x v="0"/>
    <x v="12"/>
  </r>
  <r>
    <n v="1271"/>
    <x v="192"/>
    <x v="1"/>
    <x v="1"/>
    <x v="0"/>
    <s v="Gastroenteritis"/>
    <x v="34"/>
    <x v="1"/>
    <n v="37.700000000000003"/>
    <n v="6.8"/>
    <n v="0"/>
    <x v="1"/>
    <x v="1"/>
    <x v="1"/>
    <x v="5"/>
  </r>
  <r>
    <n v="1272"/>
    <x v="1"/>
    <x v="1"/>
    <x v="7"/>
    <x v="6"/>
    <s v="UTI"/>
    <x v="61"/>
    <x v="1"/>
    <n v="38.700000000000003"/>
    <n v="6"/>
    <n v="2"/>
    <x v="0"/>
    <x v="0"/>
    <x v="1"/>
    <x v="1"/>
  </r>
  <r>
    <n v="1273"/>
    <x v="193"/>
    <x v="0"/>
    <x v="23"/>
    <x v="3"/>
    <s v="Malaria"/>
    <x v="19"/>
    <x v="1"/>
    <n v="38.299999999999997"/>
    <n v="9.3000000000000007"/>
    <n v="0"/>
    <x v="0"/>
    <x v="0"/>
    <x v="1"/>
    <x v="3"/>
  </r>
  <r>
    <n v="1274"/>
    <x v="110"/>
    <x v="1"/>
    <x v="17"/>
    <x v="1"/>
    <s v="Anemia"/>
    <x v="35"/>
    <x v="1"/>
    <n v="37.700000000000003"/>
    <n v="5.4"/>
    <n v="5"/>
    <x v="0"/>
    <x v="1"/>
    <x v="1"/>
    <x v="4"/>
  </r>
  <r>
    <n v="1275"/>
    <x v="181"/>
    <x v="0"/>
    <x v="18"/>
    <x v="1"/>
    <s v="Hypertension"/>
    <x v="14"/>
    <x v="0"/>
    <n v="37.200000000000003"/>
    <n v="2.5"/>
    <n v="1"/>
    <x v="1"/>
    <x v="0"/>
    <x v="0"/>
    <x v="11"/>
  </r>
  <r>
    <n v="1276"/>
    <x v="186"/>
    <x v="0"/>
    <x v="3"/>
    <x v="6"/>
    <s v="UTI"/>
    <x v="57"/>
    <x v="0"/>
    <n v="37.1"/>
    <n v="6.8"/>
    <n v="2"/>
    <x v="0"/>
    <x v="0"/>
    <x v="1"/>
    <x v="2"/>
  </r>
  <r>
    <n v="1277"/>
    <x v="136"/>
    <x v="0"/>
    <x v="22"/>
    <x v="2"/>
    <s v="Malaria"/>
    <x v="0"/>
    <x v="0"/>
    <n v="36.6"/>
    <n v="4.3"/>
    <n v="2"/>
    <x v="1"/>
    <x v="0"/>
    <x v="1"/>
    <x v="12"/>
  </r>
  <r>
    <n v="1278"/>
    <x v="194"/>
    <x v="1"/>
    <x v="21"/>
    <x v="1"/>
    <s v="Malaria"/>
    <x v="60"/>
    <x v="0"/>
    <n v="37.5"/>
    <n v="8.1999999999999993"/>
    <n v="7"/>
    <x v="1"/>
    <x v="0"/>
    <x v="1"/>
    <x v="12"/>
  </r>
  <r>
    <n v="1279"/>
    <x v="138"/>
    <x v="0"/>
    <x v="3"/>
    <x v="1"/>
    <s v="Typhoid"/>
    <x v="28"/>
    <x v="0"/>
    <n v="36.9"/>
    <n v="8.1999999999999993"/>
    <n v="8"/>
    <x v="1"/>
    <x v="0"/>
    <x v="1"/>
    <x v="0"/>
  </r>
  <r>
    <n v="1280"/>
    <x v="195"/>
    <x v="1"/>
    <x v="3"/>
    <x v="1"/>
    <s v="Anemia"/>
    <x v="80"/>
    <x v="0"/>
    <n v="36.799999999999997"/>
    <n v="6.9"/>
    <n v="5"/>
    <x v="1"/>
    <x v="1"/>
    <x v="1"/>
    <x v="3"/>
  </r>
  <r>
    <n v="1281"/>
    <x v="196"/>
    <x v="1"/>
    <x v="41"/>
    <x v="4"/>
    <s v="Anemia"/>
    <x v="26"/>
    <x v="0"/>
    <n v="37.200000000000003"/>
    <n v="3.7"/>
    <n v="6"/>
    <x v="0"/>
    <x v="0"/>
    <x v="0"/>
    <x v="10"/>
  </r>
  <r>
    <n v="1282"/>
    <x v="197"/>
    <x v="1"/>
    <x v="33"/>
    <x v="4"/>
    <s v="Respiratory infection"/>
    <x v="37"/>
    <x v="0"/>
    <n v="36.700000000000003"/>
    <n v="11.5"/>
    <n v="2"/>
    <x v="0"/>
    <x v="1"/>
    <x v="0"/>
    <x v="1"/>
  </r>
  <r>
    <n v="1283"/>
    <x v="198"/>
    <x v="0"/>
    <x v="32"/>
    <x v="3"/>
    <s v="Hypertension"/>
    <x v="44"/>
    <x v="0"/>
    <n v="36.9"/>
    <n v="8.4"/>
    <n v="1"/>
    <x v="0"/>
    <x v="0"/>
    <x v="1"/>
    <x v="7"/>
  </r>
  <r>
    <n v="1284"/>
    <x v="199"/>
    <x v="1"/>
    <x v="23"/>
    <x v="1"/>
    <s v="Respiratory infection"/>
    <x v="31"/>
    <x v="0"/>
    <n v="36.6"/>
    <n v="10"/>
    <n v="3"/>
    <x v="0"/>
    <x v="0"/>
    <x v="1"/>
    <x v="5"/>
  </r>
  <r>
    <n v="1285"/>
    <x v="142"/>
    <x v="0"/>
    <x v="9"/>
    <x v="5"/>
    <s v="UTI"/>
    <x v="51"/>
    <x v="0"/>
    <n v="37.4"/>
    <n v="12.5"/>
    <n v="15"/>
    <x v="0"/>
    <x v="0"/>
    <x v="1"/>
    <x v="6"/>
  </r>
  <r>
    <n v="1286"/>
    <x v="186"/>
    <x v="1"/>
    <x v="3"/>
    <x v="2"/>
    <s v="Gastroenteritis"/>
    <x v="59"/>
    <x v="0"/>
    <n v="36.9"/>
    <n v="3.8"/>
    <n v="7"/>
    <x v="1"/>
    <x v="0"/>
    <x v="1"/>
    <x v="2"/>
  </r>
  <r>
    <n v="1287"/>
    <x v="200"/>
    <x v="0"/>
    <x v="1"/>
    <x v="3"/>
    <s v="Typhoid"/>
    <x v="32"/>
    <x v="1"/>
    <n v="38.9"/>
    <n v="11.2"/>
    <n v="0"/>
    <x v="2"/>
    <x v="1"/>
    <x v="1"/>
    <x v="10"/>
  </r>
  <r>
    <n v="1288"/>
    <x v="60"/>
    <x v="1"/>
    <x v="8"/>
    <x v="0"/>
    <s v="Hypertension"/>
    <x v="13"/>
    <x v="0"/>
    <n v="37.4"/>
    <n v="6.5"/>
    <n v="0"/>
    <x v="1"/>
    <x v="0"/>
    <x v="1"/>
    <x v="12"/>
  </r>
  <r>
    <n v="1289"/>
    <x v="37"/>
    <x v="1"/>
    <x v="29"/>
    <x v="1"/>
    <s v="Malaria"/>
    <x v="54"/>
    <x v="0"/>
    <n v="37.4"/>
    <n v="9.8000000000000007"/>
    <n v="7"/>
    <x v="0"/>
    <x v="0"/>
    <x v="0"/>
    <x v="9"/>
  </r>
  <r>
    <n v="1290"/>
    <x v="201"/>
    <x v="0"/>
    <x v="4"/>
    <x v="2"/>
    <s v="Malaria"/>
    <x v="9"/>
    <x v="0"/>
    <n v="37.1"/>
    <n v="10.5"/>
    <n v="8"/>
    <x v="1"/>
    <x v="1"/>
    <x v="1"/>
    <x v="10"/>
  </r>
  <r>
    <n v="1291"/>
    <x v="164"/>
    <x v="0"/>
    <x v="35"/>
    <x v="6"/>
    <s v="UTI"/>
    <x v="17"/>
    <x v="1"/>
    <n v="37.700000000000003"/>
    <n v="9"/>
    <n v="5"/>
    <x v="0"/>
    <x v="1"/>
    <x v="1"/>
    <x v="11"/>
  </r>
  <r>
    <n v="1292"/>
    <x v="40"/>
    <x v="0"/>
    <x v="32"/>
    <x v="5"/>
    <s v="Anemia"/>
    <x v="81"/>
    <x v="0"/>
    <n v="36.6"/>
    <n v="4.5"/>
    <n v="15"/>
    <x v="0"/>
    <x v="1"/>
    <x v="1"/>
    <x v="0"/>
  </r>
  <r>
    <n v="1293"/>
    <x v="202"/>
    <x v="1"/>
    <x v="24"/>
    <x v="3"/>
    <s v="Malaria"/>
    <x v="3"/>
    <x v="0"/>
    <n v="36.5"/>
    <n v="6.4"/>
    <n v="1"/>
    <x v="0"/>
    <x v="0"/>
    <x v="0"/>
    <x v="7"/>
  </r>
  <r>
    <n v="1294"/>
    <x v="76"/>
    <x v="0"/>
    <x v="15"/>
    <x v="1"/>
    <s v="Gastroenteritis"/>
    <x v="38"/>
    <x v="0"/>
    <n v="37.6"/>
    <n v="9.8000000000000007"/>
    <n v="5"/>
    <x v="0"/>
    <x v="0"/>
    <x v="0"/>
    <x v="10"/>
  </r>
  <r>
    <n v="1295"/>
    <x v="203"/>
    <x v="0"/>
    <x v="26"/>
    <x v="2"/>
    <s v="Typhoid"/>
    <x v="5"/>
    <x v="0"/>
    <n v="35.9"/>
    <n v="12.3"/>
    <n v="2"/>
    <x v="0"/>
    <x v="1"/>
    <x v="1"/>
    <x v="5"/>
  </r>
  <r>
    <n v="1296"/>
    <x v="204"/>
    <x v="0"/>
    <x v="24"/>
    <x v="3"/>
    <s v="Gastroenteritis"/>
    <x v="79"/>
    <x v="0"/>
    <n v="36.4"/>
    <n v="5"/>
    <n v="1"/>
    <x v="0"/>
    <x v="1"/>
    <x v="0"/>
    <x v="13"/>
  </r>
  <r>
    <n v="1297"/>
    <x v="205"/>
    <x v="0"/>
    <x v="3"/>
    <x v="3"/>
    <s v="Malaria"/>
    <x v="30"/>
    <x v="0"/>
    <n v="36.299999999999997"/>
    <n v="7"/>
    <n v="2"/>
    <x v="2"/>
    <x v="0"/>
    <x v="1"/>
    <x v="6"/>
  </r>
  <r>
    <n v="1298"/>
    <x v="206"/>
    <x v="1"/>
    <x v="10"/>
    <x v="1"/>
    <s v="Hypertension"/>
    <x v="1"/>
    <x v="0"/>
    <n v="36.5"/>
    <n v="6.4"/>
    <n v="10"/>
    <x v="1"/>
    <x v="0"/>
    <x v="0"/>
    <x v="10"/>
  </r>
  <r>
    <n v="1299"/>
    <x v="170"/>
    <x v="0"/>
    <x v="39"/>
    <x v="2"/>
    <s v="UTI"/>
    <x v="60"/>
    <x v="0"/>
    <n v="37.799999999999997"/>
    <n v="6.5"/>
    <n v="7"/>
    <x v="0"/>
    <x v="0"/>
    <x v="0"/>
    <x v="11"/>
  </r>
  <r>
    <n v="1300"/>
    <x v="25"/>
    <x v="0"/>
    <x v="46"/>
    <x v="2"/>
    <s v="Gastroenteritis"/>
    <x v="53"/>
    <x v="0"/>
    <n v="36"/>
    <n v="4.5"/>
    <n v="5"/>
    <x v="1"/>
    <x v="1"/>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37535D-5AEF-DF48-94AF-C23E8B71FB87}" name="PivotTable11"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9:H20" firstHeaderRow="1" firstDataRow="1" firstDataCol="0"/>
  <pivotFields count="15">
    <pivotField showAll="0"/>
    <pivotField numFmtId="164" showAll="0">
      <items count="208">
        <item x="117"/>
        <item x="144"/>
        <item x="9"/>
        <item x="155"/>
        <item x="81"/>
        <item x="116"/>
        <item x="112"/>
        <item x="165"/>
        <item x="173"/>
        <item x="33"/>
        <item x="133"/>
        <item x="162"/>
        <item x="43"/>
        <item x="110"/>
        <item x="130"/>
        <item x="27"/>
        <item x="7"/>
        <item x="6"/>
        <item x="3"/>
        <item x="88"/>
        <item x="103"/>
        <item x="5"/>
        <item x="169"/>
        <item x="102"/>
        <item x="197"/>
        <item x="1"/>
        <item x="93"/>
        <item x="111"/>
        <item x="49"/>
        <item x="104"/>
        <item x="63"/>
        <item x="140"/>
        <item x="58"/>
        <item x="2"/>
        <item x="53"/>
        <item x="120"/>
        <item x="180"/>
        <item x="92"/>
        <item x="66"/>
        <item x="114"/>
        <item x="94"/>
        <item x="87"/>
        <item x="186"/>
        <item x="184"/>
        <item x="55"/>
        <item x="74"/>
        <item x="69"/>
        <item x="15"/>
        <item x="91"/>
        <item x="29"/>
        <item x="20"/>
        <item x="175"/>
        <item x="150"/>
        <item x="148"/>
        <item x="14"/>
        <item x="100"/>
        <item x="96"/>
        <item x="85"/>
        <item x="196"/>
        <item x="50"/>
        <item x="62"/>
        <item x="151"/>
        <item x="200"/>
        <item x="121"/>
        <item x="22"/>
        <item x="89"/>
        <item x="84"/>
        <item x="101"/>
        <item x="126"/>
        <item x="107"/>
        <item x="75"/>
        <item x="76"/>
        <item x="201"/>
        <item x="206"/>
        <item x="152"/>
        <item x="61"/>
        <item x="80"/>
        <item x="135"/>
        <item x="40"/>
        <item x="147"/>
        <item x="46"/>
        <item x="105"/>
        <item x="0"/>
        <item x="141"/>
        <item x="54"/>
        <item x="176"/>
        <item x="28"/>
        <item x="11"/>
        <item x="17"/>
        <item x="138"/>
        <item x="19"/>
        <item x="122"/>
        <item x="172"/>
        <item x="128"/>
        <item x="13"/>
        <item x="16"/>
        <item x="131"/>
        <item x="51"/>
        <item x="124"/>
        <item x="185"/>
        <item x="137"/>
        <item x="202"/>
        <item x="119"/>
        <item x="67"/>
        <item x="65"/>
        <item x="198"/>
        <item x="8"/>
        <item x="97"/>
        <item x="143"/>
        <item x="71"/>
        <item x="83"/>
        <item x="177"/>
        <item x="163"/>
        <item x="199"/>
        <item x="30"/>
        <item x="156"/>
        <item x="203"/>
        <item x="48"/>
        <item x="38"/>
        <item x="192"/>
        <item x="171"/>
        <item x="12"/>
        <item x="194"/>
        <item x="191"/>
        <item x="179"/>
        <item x="41"/>
        <item x="60"/>
        <item x="45"/>
        <item x="32"/>
        <item x="136"/>
        <item x="98"/>
        <item x="161"/>
        <item x="182"/>
        <item x="47"/>
        <item x="145"/>
        <item x="149"/>
        <item x="86"/>
        <item x="132"/>
        <item x="68"/>
        <item x="44"/>
        <item x="70"/>
        <item x="153"/>
        <item x="159"/>
        <item x="193"/>
        <item x="187"/>
        <item x="4"/>
        <item x="154"/>
        <item x="183"/>
        <item x="195"/>
        <item x="204"/>
        <item x="174"/>
        <item x="129"/>
        <item x="99"/>
        <item x="108"/>
        <item x="95"/>
        <item x="64"/>
        <item x="39"/>
        <item x="146"/>
        <item x="79"/>
        <item x="125"/>
        <item x="115"/>
        <item x="160"/>
        <item x="36"/>
        <item x="134"/>
        <item x="82"/>
        <item x="158"/>
        <item x="109"/>
        <item x="181"/>
        <item x="24"/>
        <item x="127"/>
        <item x="139"/>
        <item x="170"/>
        <item x="167"/>
        <item x="77"/>
        <item x="164"/>
        <item x="166"/>
        <item x="35"/>
        <item x="25"/>
        <item x="31"/>
        <item x="113"/>
        <item x="42"/>
        <item x="189"/>
        <item x="157"/>
        <item x="73"/>
        <item x="18"/>
        <item x="106"/>
        <item x="78"/>
        <item x="56"/>
        <item x="37"/>
        <item x="59"/>
        <item x="123"/>
        <item x="190"/>
        <item x="26"/>
        <item x="10"/>
        <item x="168"/>
        <item x="23"/>
        <item x="90"/>
        <item x="205"/>
        <item x="178"/>
        <item x="118"/>
        <item x="188"/>
        <item x="57"/>
        <item x="72"/>
        <item x="142"/>
        <item x="34"/>
        <item x="52"/>
        <item x="21"/>
        <item t="default"/>
      </items>
    </pivotField>
    <pivotField showAll="0">
      <items count="3">
        <item x="0"/>
        <item x="1"/>
        <item t="default"/>
      </items>
    </pivotField>
    <pivotField showAll="0"/>
    <pivotField showAll="0">
      <items count="8">
        <item x="4"/>
        <item x="3"/>
        <item x="5"/>
        <item x="1"/>
        <item x="0"/>
        <item x="6"/>
        <item x="2"/>
        <item t="default"/>
      </items>
    </pivotField>
    <pivotField showAll="0"/>
    <pivotField dataField="1" showAll="0">
      <items count="83">
        <item x="78"/>
        <item x="56"/>
        <item x="74"/>
        <item x="80"/>
        <item x="81"/>
        <item x="27"/>
        <item x="42"/>
        <item x="6"/>
        <item x="41"/>
        <item x="69"/>
        <item x="63"/>
        <item x="17"/>
        <item x="73"/>
        <item x="71"/>
        <item x="58"/>
        <item x="62"/>
        <item x="15"/>
        <item x="46"/>
        <item x="75"/>
        <item x="45"/>
        <item x="24"/>
        <item x="52"/>
        <item x="64"/>
        <item x="35"/>
        <item x="32"/>
        <item x="55"/>
        <item x="68"/>
        <item x="53"/>
        <item x="22"/>
        <item x="18"/>
        <item x="65"/>
        <item x="20"/>
        <item x="5"/>
        <item x="37"/>
        <item x="79"/>
        <item x="34"/>
        <item x="9"/>
        <item x="50"/>
        <item x="19"/>
        <item x="38"/>
        <item x="26"/>
        <item x="3"/>
        <item x="28"/>
        <item x="23"/>
        <item x="25"/>
        <item x="59"/>
        <item x="8"/>
        <item x="36"/>
        <item x="7"/>
        <item x="0"/>
        <item x="44"/>
        <item x="14"/>
        <item x="51"/>
        <item x="54"/>
        <item x="21"/>
        <item x="29"/>
        <item x="48"/>
        <item x="33"/>
        <item x="30"/>
        <item x="60"/>
        <item x="1"/>
        <item x="70"/>
        <item x="43"/>
        <item x="10"/>
        <item x="31"/>
        <item x="13"/>
        <item x="40"/>
        <item x="76"/>
        <item x="4"/>
        <item x="11"/>
        <item x="12"/>
        <item x="67"/>
        <item x="16"/>
        <item x="72"/>
        <item x="61"/>
        <item x="57"/>
        <item x="47"/>
        <item x="2"/>
        <item x="49"/>
        <item x="77"/>
        <item x="39"/>
        <item x="66"/>
        <item t="default"/>
      </items>
    </pivotField>
    <pivotField showAll="0">
      <items count="3">
        <item x="0"/>
        <item x="1"/>
        <item t="default"/>
      </items>
    </pivotField>
    <pivotField showAll="0"/>
    <pivotField showAll="0"/>
    <pivotField showAll="0"/>
    <pivotField showAll="0">
      <items count="5">
        <item x="1"/>
        <item x="0"/>
        <item x="3"/>
        <item x="2"/>
        <item t="default"/>
      </items>
    </pivotField>
    <pivotField showAll="0"/>
    <pivotField showAll="0"/>
    <pivotField showAll="0"/>
  </pivotFields>
  <rowItems count="1">
    <i/>
  </rowItems>
  <colItems count="1">
    <i/>
  </colItems>
  <dataFields count="1">
    <dataField name="Average of Hb_g_dL"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07D87F-410D-F74B-A77D-969EDC5D862A}" name="PivotTable10"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1:E34" firstHeaderRow="1" firstDataRow="1" firstDataCol="1"/>
  <pivotFields count="15">
    <pivotField dataField="1" showAll="0"/>
    <pivotField numFmtId="164" showAll="0">
      <items count="208">
        <item x="117"/>
        <item x="144"/>
        <item x="9"/>
        <item x="155"/>
        <item x="81"/>
        <item x="116"/>
        <item x="112"/>
        <item x="165"/>
        <item x="173"/>
        <item x="33"/>
        <item x="133"/>
        <item x="162"/>
        <item x="43"/>
        <item x="110"/>
        <item x="130"/>
        <item x="27"/>
        <item x="7"/>
        <item x="6"/>
        <item x="3"/>
        <item x="88"/>
        <item x="103"/>
        <item x="5"/>
        <item x="169"/>
        <item x="102"/>
        <item x="197"/>
        <item x="1"/>
        <item x="93"/>
        <item x="111"/>
        <item x="49"/>
        <item x="104"/>
        <item x="63"/>
        <item x="140"/>
        <item x="58"/>
        <item x="2"/>
        <item x="53"/>
        <item x="120"/>
        <item x="180"/>
        <item x="92"/>
        <item x="66"/>
        <item x="114"/>
        <item x="94"/>
        <item x="87"/>
        <item x="186"/>
        <item x="184"/>
        <item x="55"/>
        <item x="74"/>
        <item x="69"/>
        <item x="15"/>
        <item x="91"/>
        <item x="29"/>
        <item x="20"/>
        <item x="175"/>
        <item x="150"/>
        <item x="148"/>
        <item x="14"/>
        <item x="100"/>
        <item x="96"/>
        <item x="85"/>
        <item x="196"/>
        <item x="50"/>
        <item x="62"/>
        <item x="151"/>
        <item x="200"/>
        <item x="121"/>
        <item x="22"/>
        <item x="89"/>
        <item x="84"/>
        <item x="101"/>
        <item x="126"/>
        <item x="107"/>
        <item x="75"/>
        <item x="76"/>
        <item x="201"/>
        <item x="206"/>
        <item x="152"/>
        <item x="61"/>
        <item x="80"/>
        <item x="135"/>
        <item x="40"/>
        <item x="147"/>
        <item x="46"/>
        <item x="105"/>
        <item x="0"/>
        <item x="141"/>
        <item x="54"/>
        <item x="176"/>
        <item x="28"/>
        <item x="11"/>
        <item x="17"/>
        <item x="138"/>
        <item x="19"/>
        <item x="122"/>
        <item x="172"/>
        <item x="128"/>
        <item x="13"/>
        <item x="16"/>
        <item x="131"/>
        <item x="51"/>
        <item x="124"/>
        <item x="185"/>
        <item x="137"/>
        <item x="202"/>
        <item x="119"/>
        <item x="67"/>
        <item x="65"/>
        <item x="198"/>
        <item x="8"/>
        <item x="97"/>
        <item x="143"/>
        <item x="71"/>
        <item x="83"/>
        <item x="177"/>
        <item x="163"/>
        <item x="199"/>
        <item x="30"/>
        <item x="156"/>
        <item x="203"/>
        <item x="48"/>
        <item x="38"/>
        <item x="192"/>
        <item x="171"/>
        <item x="12"/>
        <item x="194"/>
        <item x="191"/>
        <item x="179"/>
        <item x="41"/>
        <item x="60"/>
        <item x="45"/>
        <item x="32"/>
        <item x="136"/>
        <item x="98"/>
        <item x="161"/>
        <item x="182"/>
        <item x="47"/>
        <item x="145"/>
        <item x="149"/>
        <item x="86"/>
        <item x="132"/>
        <item x="68"/>
        <item x="44"/>
        <item x="70"/>
        <item x="153"/>
        <item x="159"/>
        <item x="193"/>
        <item x="187"/>
        <item x="4"/>
        <item x="154"/>
        <item x="183"/>
        <item x="195"/>
        <item x="204"/>
        <item x="174"/>
        <item x="129"/>
        <item x="99"/>
        <item x="108"/>
        <item x="95"/>
        <item x="64"/>
        <item x="39"/>
        <item x="146"/>
        <item x="79"/>
        <item x="125"/>
        <item x="115"/>
        <item x="160"/>
        <item x="36"/>
        <item x="134"/>
        <item x="82"/>
        <item x="158"/>
        <item x="109"/>
        <item x="181"/>
        <item x="24"/>
        <item x="127"/>
        <item x="139"/>
        <item x="170"/>
        <item x="167"/>
        <item x="77"/>
        <item x="164"/>
        <item x="166"/>
        <item x="35"/>
        <item x="25"/>
        <item x="31"/>
        <item x="113"/>
        <item x="42"/>
        <item x="189"/>
        <item x="157"/>
        <item x="73"/>
        <item x="18"/>
        <item x="106"/>
        <item x="78"/>
        <item x="56"/>
        <item x="37"/>
        <item x="59"/>
        <item x="123"/>
        <item x="190"/>
        <item x="26"/>
        <item x="10"/>
        <item x="168"/>
        <item x="23"/>
        <item x="90"/>
        <item x="205"/>
        <item x="178"/>
        <item x="118"/>
        <item x="188"/>
        <item x="57"/>
        <item x="72"/>
        <item x="142"/>
        <item x="34"/>
        <item x="52"/>
        <item x="21"/>
        <item t="default"/>
      </items>
    </pivotField>
    <pivotField showAll="0">
      <items count="3">
        <item x="0"/>
        <item x="1"/>
        <item t="default"/>
      </items>
    </pivotField>
    <pivotField showAll="0"/>
    <pivotField showAll="0">
      <items count="8">
        <item x="4"/>
        <item x="3"/>
        <item x="5"/>
        <item x="1"/>
        <item x="0"/>
        <item x="6"/>
        <item x="2"/>
        <item t="default"/>
      </items>
    </pivotField>
    <pivotField showAll="0"/>
    <pivotField showAll="0"/>
    <pivotField showAll="0">
      <items count="3">
        <item x="0"/>
        <item x="1"/>
        <item t="default"/>
      </items>
    </pivotField>
    <pivotField showAll="0"/>
    <pivotField showAll="0"/>
    <pivotField showAll="0"/>
    <pivotField showAll="0">
      <items count="5">
        <item x="1"/>
        <item x="0"/>
        <item x="3"/>
        <item x="2"/>
        <item t="default"/>
      </items>
    </pivotField>
    <pivotField axis="axisRow" showAll="0">
      <items count="3">
        <item x="1"/>
        <item x="0"/>
        <item t="default"/>
      </items>
    </pivotField>
    <pivotField showAll="0"/>
    <pivotField showAll="0"/>
  </pivotFields>
  <rowFields count="1">
    <field x="12"/>
  </rowFields>
  <rowItems count="3">
    <i>
      <x/>
    </i>
    <i>
      <x v="1"/>
    </i>
    <i t="grand">
      <x/>
    </i>
  </rowItems>
  <colItems count="1">
    <i/>
  </colItems>
  <dataFields count="1">
    <dataField name="Count of Patient_ID" fld="0" subtotal="count" showDataAs="percentOfTotal" baseField="0" baseItem="0" numFmtId="10"/>
  </dataFields>
  <formats count="3">
    <format dxfId="0">
      <pivotArea collapsedLevelsAreSubtotals="1" fieldPosition="0">
        <references count="1">
          <reference field="12" count="1">
            <x v="0"/>
          </reference>
        </references>
      </pivotArea>
    </format>
    <format dxfId="1">
      <pivotArea collapsedLevelsAreSubtotals="1" fieldPosition="0">
        <references count="1">
          <reference field="12" count="1">
            <x v="1"/>
          </reference>
        </references>
      </pivotArea>
    </format>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D00C94-1341-DA44-9482-E7076E37B268}" name="PivotTable9"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24:E27" firstHeaderRow="1" firstDataRow="1" firstDataCol="1"/>
  <pivotFields count="15">
    <pivotField dataField="1" showAll="0"/>
    <pivotField numFmtId="164" showAll="0">
      <items count="208">
        <item x="117"/>
        <item x="144"/>
        <item x="9"/>
        <item x="155"/>
        <item x="81"/>
        <item x="116"/>
        <item x="112"/>
        <item x="165"/>
        <item x="173"/>
        <item x="33"/>
        <item x="133"/>
        <item x="162"/>
        <item x="43"/>
        <item x="110"/>
        <item x="130"/>
        <item x="27"/>
        <item x="7"/>
        <item x="6"/>
        <item x="3"/>
        <item x="88"/>
        <item x="103"/>
        <item x="5"/>
        <item x="169"/>
        <item x="102"/>
        <item x="197"/>
        <item x="1"/>
        <item x="93"/>
        <item x="111"/>
        <item x="49"/>
        <item x="104"/>
        <item x="63"/>
        <item x="140"/>
        <item x="58"/>
        <item x="2"/>
        <item x="53"/>
        <item x="120"/>
        <item x="180"/>
        <item x="92"/>
        <item x="66"/>
        <item x="114"/>
        <item x="94"/>
        <item x="87"/>
        <item x="186"/>
        <item x="184"/>
        <item x="55"/>
        <item x="74"/>
        <item x="69"/>
        <item x="15"/>
        <item x="91"/>
        <item x="29"/>
        <item x="20"/>
        <item x="175"/>
        <item x="150"/>
        <item x="148"/>
        <item x="14"/>
        <item x="100"/>
        <item x="96"/>
        <item x="85"/>
        <item x="196"/>
        <item x="50"/>
        <item x="62"/>
        <item x="151"/>
        <item x="200"/>
        <item x="121"/>
        <item x="22"/>
        <item x="89"/>
        <item x="84"/>
        <item x="101"/>
        <item x="126"/>
        <item x="107"/>
        <item x="75"/>
        <item x="76"/>
        <item x="201"/>
        <item x="206"/>
        <item x="152"/>
        <item x="61"/>
        <item x="80"/>
        <item x="135"/>
        <item x="40"/>
        <item x="147"/>
        <item x="46"/>
        <item x="105"/>
        <item x="0"/>
        <item x="141"/>
        <item x="54"/>
        <item x="176"/>
        <item x="28"/>
        <item x="11"/>
        <item x="17"/>
        <item x="138"/>
        <item x="19"/>
        <item x="122"/>
        <item x="172"/>
        <item x="128"/>
        <item x="13"/>
        <item x="16"/>
        <item x="131"/>
        <item x="51"/>
        <item x="124"/>
        <item x="185"/>
        <item x="137"/>
        <item x="202"/>
        <item x="119"/>
        <item x="67"/>
        <item x="65"/>
        <item x="198"/>
        <item x="8"/>
        <item x="97"/>
        <item x="143"/>
        <item x="71"/>
        <item x="83"/>
        <item x="177"/>
        <item x="163"/>
        <item x="199"/>
        <item x="30"/>
        <item x="156"/>
        <item x="203"/>
        <item x="48"/>
        <item x="38"/>
        <item x="192"/>
        <item x="171"/>
        <item x="12"/>
        <item x="194"/>
        <item x="191"/>
        <item x="179"/>
        <item x="41"/>
        <item x="60"/>
        <item x="45"/>
        <item x="32"/>
        <item x="136"/>
        <item x="98"/>
        <item x="161"/>
        <item x="182"/>
        <item x="47"/>
        <item x="145"/>
        <item x="149"/>
        <item x="86"/>
        <item x="132"/>
        <item x="68"/>
        <item x="44"/>
        <item x="70"/>
        <item x="153"/>
        <item x="159"/>
        <item x="193"/>
        <item x="187"/>
        <item x="4"/>
        <item x="154"/>
        <item x="183"/>
        <item x="195"/>
        <item x="204"/>
        <item x="174"/>
        <item x="129"/>
        <item x="99"/>
        <item x="108"/>
        <item x="95"/>
        <item x="64"/>
        <item x="39"/>
        <item x="146"/>
        <item x="79"/>
        <item x="125"/>
        <item x="115"/>
        <item x="160"/>
        <item x="36"/>
        <item x="134"/>
        <item x="82"/>
        <item x="158"/>
        <item x="109"/>
        <item x="181"/>
        <item x="24"/>
        <item x="127"/>
        <item x="139"/>
        <item x="170"/>
        <item x="167"/>
        <item x="77"/>
        <item x="164"/>
        <item x="166"/>
        <item x="35"/>
        <item x="25"/>
        <item x="31"/>
        <item x="113"/>
        <item x="42"/>
        <item x="189"/>
        <item x="157"/>
        <item x="73"/>
        <item x="18"/>
        <item x="106"/>
        <item x="78"/>
        <item x="56"/>
        <item x="37"/>
        <item x="59"/>
        <item x="123"/>
        <item x="190"/>
        <item x="26"/>
        <item x="10"/>
        <item x="168"/>
        <item x="23"/>
        <item x="90"/>
        <item x="205"/>
        <item x="178"/>
        <item x="118"/>
        <item x="188"/>
        <item x="57"/>
        <item x="72"/>
        <item x="142"/>
        <item x="34"/>
        <item x="52"/>
        <item x="21"/>
        <item t="default"/>
      </items>
    </pivotField>
    <pivotField showAll="0">
      <items count="3">
        <item x="0"/>
        <item x="1"/>
        <item t="default"/>
      </items>
    </pivotField>
    <pivotField showAll="0"/>
    <pivotField showAll="0">
      <items count="8">
        <item x="4"/>
        <item x="3"/>
        <item x="5"/>
        <item x="1"/>
        <item x="0"/>
        <item x="6"/>
        <item x="2"/>
        <item t="default"/>
      </items>
    </pivotField>
    <pivotField showAll="0"/>
    <pivotField showAll="0"/>
    <pivotField axis="axisRow" showAll="0">
      <items count="3">
        <item x="0"/>
        <item x="1"/>
        <item t="default"/>
      </items>
    </pivotField>
    <pivotField showAll="0"/>
    <pivotField showAll="0"/>
    <pivotField showAll="0"/>
    <pivotField showAll="0">
      <items count="5">
        <item x="1"/>
        <item x="0"/>
        <item x="3"/>
        <item x="2"/>
        <item t="default"/>
      </items>
    </pivotField>
    <pivotField showAll="0"/>
    <pivotField showAll="0"/>
    <pivotField showAll="0"/>
  </pivotFields>
  <rowFields count="1">
    <field x="7"/>
  </rowFields>
  <rowItems count="3">
    <i>
      <x/>
    </i>
    <i>
      <x v="1"/>
    </i>
    <i t="grand">
      <x/>
    </i>
  </rowItems>
  <colItems count="1">
    <i/>
  </colItems>
  <dataFields count="1">
    <dataField name="Count of Patient_ID" fld="0" subtotal="count" showDataAs="percentOfTotal" baseField="0" baseItem="0" numFmtId="10"/>
  </dataFields>
  <formats count="2">
    <format dxfId="3">
      <pivotArea collapsedLevelsAreSubtotals="1" fieldPosition="0">
        <references count="1">
          <reference field="7" count="1">
            <x v="0"/>
          </reference>
        </references>
      </pivotArea>
    </format>
    <format dxfId="4">
      <pivotArea collapsedLevelsAreSubtotals="1" fieldPosition="0">
        <references count="1">
          <reference field="7"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1071A3-9A59-2F49-BA40-A37DE6644421}" name="PivotTable8"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9:D20" firstHeaderRow="1" firstDataRow="1" firstDataCol="0"/>
  <pivotFields count="15">
    <pivotField dataField="1" showAll="0"/>
    <pivotField numFmtId="164" showAll="0">
      <items count="208">
        <item x="117"/>
        <item x="144"/>
        <item x="9"/>
        <item x="155"/>
        <item x="81"/>
        <item x="116"/>
        <item x="112"/>
        <item x="165"/>
        <item x="173"/>
        <item x="33"/>
        <item x="133"/>
        <item x="162"/>
        <item x="43"/>
        <item x="110"/>
        <item x="130"/>
        <item x="27"/>
        <item x="7"/>
        <item x="6"/>
        <item x="3"/>
        <item x="88"/>
        <item x="103"/>
        <item x="5"/>
        <item x="169"/>
        <item x="102"/>
        <item x="197"/>
        <item x="1"/>
        <item x="93"/>
        <item x="111"/>
        <item x="49"/>
        <item x="104"/>
        <item x="63"/>
        <item x="140"/>
        <item x="58"/>
        <item x="2"/>
        <item x="53"/>
        <item x="120"/>
        <item x="180"/>
        <item x="92"/>
        <item x="66"/>
        <item x="114"/>
        <item x="94"/>
        <item x="87"/>
        <item x="186"/>
        <item x="184"/>
        <item x="55"/>
        <item x="74"/>
        <item x="69"/>
        <item x="15"/>
        <item x="91"/>
        <item x="29"/>
        <item x="20"/>
        <item x="175"/>
        <item x="150"/>
        <item x="148"/>
        <item x="14"/>
        <item x="100"/>
        <item x="96"/>
        <item x="85"/>
        <item x="196"/>
        <item x="50"/>
        <item x="62"/>
        <item x="151"/>
        <item x="200"/>
        <item x="121"/>
        <item x="22"/>
        <item x="89"/>
        <item x="84"/>
        <item x="101"/>
        <item x="126"/>
        <item x="107"/>
        <item x="75"/>
        <item x="76"/>
        <item x="201"/>
        <item x="206"/>
        <item x="152"/>
        <item x="61"/>
        <item x="80"/>
        <item x="135"/>
        <item x="40"/>
        <item x="147"/>
        <item x="46"/>
        <item x="105"/>
        <item x="0"/>
        <item x="141"/>
        <item x="54"/>
        <item x="176"/>
        <item x="28"/>
        <item x="11"/>
        <item x="17"/>
        <item x="138"/>
        <item x="19"/>
        <item x="122"/>
        <item x="172"/>
        <item x="128"/>
        <item x="13"/>
        <item x="16"/>
        <item x="131"/>
        <item x="51"/>
        <item x="124"/>
        <item x="185"/>
        <item x="137"/>
        <item x="202"/>
        <item x="119"/>
        <item x="67"/>
        <item x="65"/>
        <item x="198"/>
        <item x="8"/>
        <item x="97"/>
        <item x="143"/>
        <item x="71"/>
        <item x="83"/>
        <item x="177"/>
        <item x="163"/>
        <item x="199"/>
        <item x="30"/>
        <item x="156"/>
        <item x="203"/>
        <item x="48"/>
        <item x="38"/>
        <item x="192"/>
        <item x="171"/>
        <item x="12"/>
        <item x="194"/>
        <item x="191"/>
        <item x="179"/>
        <item x="41"/>
        <item x="60"/>
        <item x="45"/>
        <item x="32"/>
        <item x="136"/>
        <item x="98"/>
        <item x="161"/>
        <item x="182"/>
        <item x="47"/>
        <item x="145"/>
        <item x="149"/>
        <item x="86"/>
        <item x="132"/>
        <item x="68"/>
        <item x="44"/>
        <item x="70"/>
        <item x="153"/>
        <item x="159"/>
        <item x="193"/>
        <item x="187"/>
        <item x="4"/>
        <item x="154"/>
        <item x="183"/>
        <item x="195"/>
        <item x="204"/>
        <item x="174"/>
        <item x="129"/>
        <item x="99"/>
        <item x="108"/>
        <item x="95"/>
        <item x="64"/>
        <item x="39"/>
        <item x="146"/>
        <item x="79"/>
        <item x="125"/>
        <item x="115"/>
        <item x="160"/>
        <item x="36"/>
        <item x="134"/>
        <item x="82"/>
        <item x="158"/>
        <item x="109"/>
        <item x="181"/>
        <item x="24"/>
        <item x="127"/>
        <item x="139"/>
        <item x="170"/>
        <item x="167"/>
        <item x="77"/>
        <item x="164"/>
        <item x="166"/>
        <item x="35"/>
        <item x="25"/>
        <item x="31"/>
        <item x="113"/>
        <item x="42"/>
        <item x="189"/>
        <item x="157"/>
        <item x="73"/>
        <item x="18"/>
        <item x="106"/>
        <item x="78"/>
        <item x="56"/>
        <item x="37"/>
        <item x="59"/>
        <item x="123"/>
        <item x="190"/>
        <item x="26"/>
        <item x="10"/>
        <item x="168"/>
        <item x="23"/>
        <item x="90"/>
        <item x="205"/>
        <item x="178"/>
        <item x="118"/>
        <item x="188"/>
        <item x="57"/>
        <item x="72"/>
        <item x="142"/>
        <item x="34"/>
        <item x="52"/>
        <item x="21"/>
        <item t="default"/>
      </items>
    </pivotField>
    <pivotField showAll="0">
      <items count="3">
        <item x="0"/>
        <item x="1"/>
        <item t="default"/>
      </items>
    </pivotField>
    <pivotField showAll="0"/>
    <pivotField showAll="0">
      <items count="8">
        <item x="4"/>
        <item x="3"/>
        <item x="5"/>
        <item x="1"/>
        <item x="0"/>
        <item x="6"/>
        <item x="2"/>
        <item t="default"/>
      </items>
    </pivotField>
    <pivotField showAll="0"/>
    <pivotField showAll="0"/>
    <pivotField showAll="0">
      <items count="3">
        <item x="0"/>
        <item x="1"/>
        <item t="default"/>
      </items>
    </pivotField>
    <pivotField showAll="0"/>
    <pivotField showAll="0"/>
    <pivotField showAll="0"/>
    <pivotField showAll="0">
      <items count="5">
        <item x="1"/>
        <item x="0"/>
        <item x="3"/>
        <item x="2"/>
        <item t="default"/>
      </items>
    </pivotField>
    <pivotField showAll="0"/>
    <pivotField showAll="0"/>
    <pivotField showAll="0"/>
  </pivotFields>
  <rowItems count="1">
    <i/>
  </rowItems>
  <colItems count="1">
    <i/>
  </colItems>
  <dataFields count="1">
    <dataField name="Total Visi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F9612F-BF92-BA4E-A21B-AC3B7E96E333}" name="PivotTable7"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
  <location ref="A19:B34" firstHeaderRow="1" firstDataRow="1" firstDataCol="1"/>
  <pivotFields count="15">
    <pivotField dataField="1" showAll="0"/>
    <pivotField numFmtId="164" showAll="0">
      <items count="208">
        <item x="117"/>
        <item x="144"/>
        <item x="9"/>
        <item x="155"/>
        <item x="81"/>
        <item x="116"/>
        <item x="112"/>
        <item x="165"/>
        <item x="173"/>
        <item x="33"/>
        <item x="133"/>
        <item x="162"/>
        <item x="43"/>
        <item x="110"/>
        <item x="130"/>
        <item x="27"/>
        <item x="7"/>
        <item x="6"/>
        <item x="3"/>
        <item x="88"/>
        <item x="103"/>
        <item x="5"/>
        <item x="169"/>
        <item x="102"/>
        <item x="197"/>
        <item x="1"/>
        <item x="93"/>
        <item x="111"/>
        <item x="49"/>
        <item x="104"/>
        <item x="63"/>
        <item x="140"/>
        <item x="58"/>
        <item x="2"/>
        <item x="53"/>
        <item x="120"/>
        <item x="180"/>
        <item x="92"/>
        <item x="66"/>
        <item x="114"/>
        <item x="94"/>
        <item x="87"/>
        <item x="186"/>
        <item x="184"/>
        <item x="55"/>
        <item x="74"/>
        <item x="69"/>
        <item x="15"/>
        <item x="91"/>
        <item x="29"/>
        <item x="20"/>
        <item x="175"/>
        <item x="150"/>
        <item x="148"/>
        <item x="14"/>
        <item x="100"/>
        <item x="96"/>
        <item x="85"/>
        <item x="196"/>
        <item x="50"/>
        <item x="62"/>
        <item x="151"/>
        <item x="200"/>
        <item x="121"/>
        <item x="22"/>
        <item x="89"/>
        <item x="84"/>
        <item x="101"/>
        <item x="126"/>
        <item x="107"/>
        <item x="75"/>
        <item x="76"/>
        <item x="201"/>
        <item x="206"/>
        <item x="152"/>
        <item x="61"/>
        <item x="80"/>
        <item x="135"/>
        <item x="40"/>
        <item x="147"/>
        <item x="46"/>
        <item x="105"/>
        <item x="0"/>
        <item x="141"/>
        <item x="54"/>
        <item x="176"/>
        <item x="28"/>
        <item x="11"/>
        <item x="17"/>
        <item x="138"/>
        <item x="19"/>
        <item x="122"/>
        <item x="172"/>
        <item x="128"/>
        <item x="13"/>
        <item x="16"/>
        <item x="131"/>
        <item x="51"/>
        <item x="124"/>
        <item x="185"/>
        <item x="137"/>
        <item x="202"/>
        <item x="119"/>
        <item x="67"/>
        <item x="65"/>
        <item x="198"/>
        <item x="8"/>
        <item x="97"/>
        <item x="143"/>
        <item x="71"/>
        <item x="83"/>
        <item x="177"/>
        <item x="163"/>
        <item x="199"/>
        <item x="30"/>
        <item x="156"/>
        <item x="203"/>
        <item x="48"/>
        <item x="38"/>
        <item x="192"/>
        <item x="171"/>
        <item x="12"/>
        <item x="194"/>
        <item x="191"/>
        <item x="179"/>
        <item x="41"/>
        <item x="60"/>
        <item x="45"/>
        <item x="32"/>
        <item x="136"/>
        <item x="98"/>
        <item x="161"/>
        <item x="182"/>
        <item x="47"/>
        <item x="145"/>
        <item x="149"/>
        <item x="86"/>
        <item x="132"/>
        <item x="68"/>
        <item x="44"/>
        <item x="70"/>
        <item x="153"/>
        <item x="159"/>
        <item x="193"/>
        <item x="187"/>
        <item x="4"/>
        <item x="154"/>
        <item x="183"/>
        <item x="195"/>
        <item x="204"/>
        <item x="174"/>
        <item x="129"/>
        <item x="99"/>
        <item x="108"/>
        <item x="95"/>
        <item x="64"/>
        <item x="39"/>
        <item x="146"/>
        <item x="79"/>
        <item x="125"/>
        <item x="115"/>
        <item x="160"/>
        <item x="36"/>
        <item x="134"/>
        <item x="82"/>
        <item x="158"/>
        <item x="109"/>
        <item x="181"/>
        <item x="24"/>
        <item x="127"/>
        <item x="139"/>
        <item x="170"/>
        <item x="167"/>
        <item x="77"/>
        <item x="164"/>
        <item x="166"/>
        <item x="35"/>
        <item x="25"/>
        <item x="31"/>
        <item x="113"/>
        <item x="42"/>
        <item x="189"/>
        <item x="157"/>
        <item x="73"/>
        <item x="18"/>
        <item x="106"/>
        <item x="78"/>
        <item x="56"/>
        <item x="37"/>
        <item x="59"/>
        <item x="123"/>
        <item x="190"/>
        <item x="26"/>
        <item x="10"/>
        <item x="168"/>
        <item x="23"/>
        <item x="90"/>
        <item x="205"/>
        <item x="178"/>
        <item x="118"/>
        <item x="188"/>
        <item x="57"/>
        <item x="72"/>
        <item x="142"/>
        <item x="34"/>
        <item x="52"/>
        <item x="21"/>
        <item t="default"/>
      </items>
    </pivotField>
    <pivotField showAll="0">
      <items count="3">
        <item x="0"/>
        <item x="1"/>
        <item t="default"/>
      </items>
    </pivotField>
    <pivotField showAll="0"/>
    <pivotField showAll="0">
      <items count="8">
        <item x="4"/>
        <item x="3"/>
        <item x="5"/>
        <item x="1"/>
        <item x="0"/>
        <item x="6"/>
        <item x="2"/>
        <item t="default"/>
      </items>
    </pivotField>
    <pivotField showAll="0"/>
    <pivotField showAll="0"/>
    <pivotField showAll="0">
      <items count="3">
        <item x="0"/>
        <item x="1"/>
        <item t="default"/>
      </items>
    </pivotField>
    <pivotField showAll="0"/>
    <pivotField showAll="0"/>
    <pivotField showAll="0"/>
    <pivotField showAll="0">
      <items count="5">
        <item x="1"/>
        <item x="0"/>
        <item x="3"/>
        <item x="2"/>
        <item t="default"/>
      </items>
    </pivotField>
    <pivotField showAll="0"/>
    <pivotField showAll="0"/>
    <pivotField axis="axisRow" showAll="0">
      <items count="15">
        <item x="4"/>
        <item x="1"/>
        <item x="2"/>
        <item x="8"/>
        <item x="10"/>
        <item x="0"/>
        <item x="7"/>
        <item x="5"/>
        <item x="12"/>
        <item x="3"/>
        <item x="13"/>
        <item x="11"/>
        <item x="9"/>
        <item x="6"/>
        <item t="default"/>
      </items>
    </pivotField>
  </pivotFields>
  <rowFields count="1">
    <field x="14"/>
  </rowFields>
  <rowItems count="15">
    <i>
      <x/>
    </i>
    <i>
      <x v="1"/>
    </i>
    <i>
      <x v="2"/>
    </i>
    <i>
      <x v="3"/>
    </i>
    <i>
      <x v="4"/>
    </i>
    <i>
      <x v="5"/>
    </i>
    <i>
      <x v="6"/>
    </i>
    <i>
      <x v="7"/>
    </i>
    <i>
      <x v="8"/>
    </i>
    <i>
      <x v="9"/>
    </i>
    <i>
      <x v="10"/>
    </i>
    <i>
      <x v="11"/>
    </i>
    <i>
      <x v="12"/>
    </i>
    <i>
      <x v="13"/>
    </i>
    <i t="grand">
      <x/>
    </i>
  </rowItems>
  <colItems count="1">
    <i/>
  </colItems>
  <dataFields count="1">
    <dataField name="Monthly visits" fld="0"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45A2E4-394F-2E4C-A6F8-E9B0E12E88B2}" name="PivotTable6"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ex">
  <location ref="I3:J6" firstHeaderRow="1" firstDataRow="1" firstDataCol="1"/>
  <pivotFields count="15">
    <pivotField showAll="0"/>
    <pivotField numFmtId="164" showAll="0">
      <items count="208">
        <item x="117"/>
        <item x="144"/>
        <item x="9"/>
        <item x="155"/>
        <item x="81"/>
        <item x="116"/>
        <item x="112"/>
        <item x="165"/>
        <item x="173"/>
        <item x="33"/>
        <item x="133"/>
        <item x="162"/>
        <item x="43"/>
        <item x="110"/>
        <item x="130"/>
        <item x="27"/>
        <item x="7"/>
        <item x="6"/>
        <item x="3"/>
        <item x="88"/>
        <item x="103"/>
        <item x="5"/>
        <item x="169"/>
        <item x="102"/>
        <item x="197"/>
        <item x="1"/>
        <item x="93"/>
        <item x="111"/>
        <item x="49"/>
        <item x="104"/>
        <item x="63"/>
        <item x="140"/>
        <item x="58"/>
        <item x="2"/>
        <item x="53"/>
        <item x="120"/>
        <item x="180"/>
        <item x="92"/>
        <item x="66"/>
        <item x="114"/>
        <item x="94"/>
        <item x="87"/>
        <item x="186"/>
        <item x="184"/>
        <item x="55"/>
        <item x="74"/>
        <item x="69"/>
        <item x="15"/>
        <item x="91"/>
        <item x="29"/>
        <item x="20"/>
        <item x="175"/>
        <item x="150"/>
        <item x="148"/>
        <item x="14"/>
        <item x="100"/>
        <item x="96"/>
        <item x="85"/>
        <item x="196"/>
        <item x="50"/>
        <item x="62"/>
        <item x="151"/>
        <item x="200"/>
        <item x="121"/>
        <item x="22"/>
        <item x="89"/>
        <item x="84"/>
        <item x="101"/>
        <item x="126"/>
        <item x="107"/>
        <item x="75"/>
        <item x="76"/>
        <item x="201"/>
        <item x="206"/>
        <item x="152"/>
        <item x="61"/>
        <item x="80"/>
        <item x="135"/>
        <item x="40"/>
        <item x="147"/>
        <item x="46"/>
        <item x="105"/>
        <item x="0"/>
        <item x="141"/>
        <item x="54"/>
        <item x="176"/>
        <item x="28"/>
        <item x="11"/>
        <item x="17"/>
        <item x="138"/>
        <item x="19"/>
        <item x="122"/>
        <item x="172"/>
        <item x="128"/>
        <item x="13"/>
        <item x="16"/>
        <item x="131"/>
        <item x="51"/>
        <item x="124"/>
        <item x="185"/>
        <item x="137"/>
        <item x="202"/>
        <item x="119"/>
        <item x="67"/>
        <item x="65"/>
        <item x="198"/>
        <item x="8"/>
        <item x="97"/>
        <item x="143"/>
        <item x="71"/>
        <item x="83"/>
        <item x="177"/>
        <item x="163"/>
        <item x="199"/>
        <item x="30"/>
        <item x="156"/>
        <item x="203"/>
        <item x="48"/>
        <item x="38"/>
        <item x="192"/>
        <item x="171"/>
        <item x="12"/>
        <item x="194"/>
        <item x="191"/>
        <item x="179"/>
        <item x="41"/>
        <item x="60"/>
        <item x="45"/>
        <item x="32"/>
        <item x="136"/>
        <item x="98"/>
        <item x="161"/>
        <item x="182"/>
        <item x="47"/>
        <item x="145"/>
        <item x="149"/>
        <item x="86"/>
        <item x="132"/>
        <item x="68"/>
        <item x="44"/>
        <item x="70"/>
        <item x="153"/>
        <item x="159"/>
        <item x="193"/>
        <item x="187"/>
        <item x="4"/>
        <item x="154"/>
        <item x="183"/>
        <item x="195"/>
        <item x="204"/>
        <item x="174"/>
        <item x="129"/>
        <item x="99"/>
        <item x="108"/>
        <item x="95"/>
        <item x="64"/>
        <item x="39"/>
        <item x="146"/>
        <item x="79"/>
        <item x="125"/>
        <item x="115"/>
        <item x="160"/>
        <item x="36"/>
        <item x="134"/>
        <item x="82"/>
        <item x="158"/>
        <item x="109"/>
        <item x="181"/>
        <item x="24"/>
        <item x="127"/>
        <item x="139"/>
        <item x="170"/>
        <item x="167"/>
        <item x="77"/>
        <item x="164"/>
        <item x="166"/>
        <item x="35"/>
        <item x="25"/>
        <item x="31"/>
        <item x="113"/>
        <item x="42"/>
        <item x="189"/>
        <item x="157"/>
        <item x="73"/>
        <item x="18"/>
        <item x="106"/>
        <item x="78"/>
        <item x="56"/>
        <item x="37"/>
        <item x="59"/>
        <item x="123"/>
        <item x="190"/>
        <item x="26"/>
        <item x="10"/>
        <item x="168"/>
        <item x="23"/>
        <item x="90"/>
        <item x="205"/>
        <item x="178"/>
        <item x="118"/>
        <item x="188"/>
        <item x="57"/>
        <item x="72"/>
        <item x="142"/>
        <item x="34"/>
        <item x="52"/>
        <item x="21"/>
        <item t="default"/>
      </items>
    </pivotField>
    <pivotField axis="axisRow" showAll="0">
      <items count="3">
        <item x="0"/>
        <item x="1"/>
        <item t="default"/>
      </items>
    </pivotField>
    <pivotField showAll="0"/>
    <pivotField showAll="0">
      <items count="8">
        <item x="4"/>
        <item x="3"/>
        <item x="5"/>
        <item x="1"/>
        <item x="0"/>
        <item x="6"/>
        <item x="2"/>
        <item t="default"/>
      </items>
    </pivotField>
    <pivotField showAll="0"/>
    <pivotField dataField="1" showAll="0">
      <items count="83">
        <item x="78"/>
        <item x="56"/>
        <item x="74"/>
        <item x="80"/>
        <item x="81"/>
        <item x="27"/>
        <item x="42"/>
        <item x="6"/>
        <item x="41"/>
        <item x="69"/>
        <item x="63"/>
        <item x="17"/>
        <item x="73"/>
        <item x="71"/>
        <item x="58"/>
        <item x="62"/>
        <item x="15"/>
        <item x="46"/>
        <item x="75"/>
        <item x="45"/>
        <item x="24"/>
        <item x="52"/>
        <item x="64"/>
        <item x="35"/>
        <item x="32"/>
        <item x="55"/>
        <item x="68"/>
        <item x="53"/>
        <item x="22"/>
        <item x="18"/>
        <item x="65"/>
        <item x="20"/>
        <item x="5"/>
        <item x="37"/>
        <item x="79"/>
        <item x="34"/>
        <item x="9"/>
        <item x="50"/>
        <item x="19"/>
        <item x="38"/>
        <item x="26"/>
        <item x="3"/>
        <item x="28"/>
        <item x="23"/>
        <item x="25"/>
        <item x="59"/>
        <item x="8"/>
        <item x="36"/>
        <item x="7"/>
        <item x="0"/>
        <item x="44"/>
        <item x="14"/>
        <item x="51"/>
        <item x="54"/>
        <item x="21"/>
        <item x="29"/>
        <item x="48"/>
        <item x="33"/>
        <item x="30"/>
        <item x="60"/>
        <item x="1"/>
        <item x="70"/>
        <item x="43"/>
        <item x="10"/>
        <item x="31"/>
        <item x="13"/>
        <item x="40"/>
        <item x="76"/>
        <item x="4"/>
        <item x="11"/>
        <item x="12"/>
        <item x="67"/>
        <item x="16"/>
        <item x="72"/>
        <item x="61"/>
        <item x="57"/>
        <item x="47"/>
        <item x="2"/>
        <item x="49"/>
        <item x="77"/>
        <item x="39"/>
        <item x="66"/>
        <item t="default"/>
      </items>
    </pivotField>
    <pivotField showAll="0">
      <items count="3">
        <item x="0"/>
        <item x="1"/>
        <item t="default"/>
      </items>
    </pivotField>
    <pivotField showAll="0"/>
    <pivotField showAll="0"/>
    <pivotField showAll="0"/>
    <pivotField showAll="0">
      <items count="5">
        <item x="1"/>
        <item x="0"/>
        <item x="3"/>
        <item x="2"/>
        <item t="default"/>
      </items>
    </pivotField>
    <pivotField showAll="0"/>
    <pivotField showAll="0"/>
    <pivotField showAll="0"/>
  </pivotFields>
  <rowFields count="1">
    <field x="2"/>
  </rowFields>
  <rowItems count="3">
    <i>
      <x/>
    </i>
    <i>
      <x v="1"/>
    </i>
    <i t="grand">
      <x/>
    </i>
  </rowItems>
  <colItems count="1">
    <i/>
  </colItems>
  <dataFields count="1">
    <dataField name="Hemoglobin by Sex"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7D5744-3C75-634C-B9C5-D6EBFC669184}" name="PivotTable5"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Age group" colHeaderCaption="">
  <location ref="D3:G7" firstHeaderRow="1" firstDataRow="2" firstDataCol="1"/>
  <pivotFields count="15">
    <pivotField dataField="1" showAll="0"/>
    <pivotField numFmtId="164" showAll="0">
      <items count="208">
        <item x="117"/>
        <item x="144"/>
        <item x="9"/>
        <item x="155"/>
        <item x="81"/>
        <item x="116"/>
        <item x="112"/>
        <item x="165"/>
        <item x="173"/>
        <item x="33"/>
        <item x="133"/>
        <item x="162"/>
        <item x="43"/>
        <item x="110"/>
        <item x="130"/>
        <item x="27"/>
        <item x="7"/>
        <item x="6"/>
        <item x="3"/>
        <item x="88"/>
        <item x="103"/>
        <item x="5"/>
        <item x="169"/>
        <item x="102"/>
        <item x="197"/>
        <item x="1"/>
        <item x="93"/>
        <item x="111"/>
        <item x="49"/>
        <item x="104"/>
        <item x="63"/>
        <item x="140"/>
        <item x="58"/>
        <item x="2"/>
        <item x="53"/>
        <item x="120"/>
        <item x="180"/>
        <item x="92"/>
        <item x="66"/>
        <item x="114"/>
        <item x="94"/>
        <item x="87"/>
        <item x="186"/>
        <item x="184"/>
        <item x="55"/>
        <item x="74"/>
        <item x="69"/>
        <item x="15"/>
        <item x="91"/>
        <item x="29"/>
        <item x="20"/>
        <item x="175"/>
        <item x="150"/>
        <item x="148"/>
        <item x="14"/>
        <item x="100"/>
        <item x="96"/>
        <item x="85"/>
        <item x="196"/>
        <item x="50"/>
        <item x="62"/>
        <item x="151"/>
        <item x="200"/>
        <item x="121"/>
        <item x="22"/>
        <item x="89"/>
        <item x="84"/>
        <item x="101"/>
        <item x="126"/>
        <item x="107"/>
        <item x="75"/>
        <item x="76"/>
        <item x="201"/>
        <item x="206"/>
        <item x="152"/>
        <item x="61"/>
        <item x="80"/>
        <item x="135"/>
        <item x="40"/>
        <item x="147"/>
        <item x="46"/>
        <item x="105"/>
        <item x="0"/>
        <item x="141"/>
        <item x="54"/>
        <item x="176"/>
        <item x="28"/>
        <item x="11"/>
        <item x="17"/>
        <item x="138"/>
        <item x="19"/>
        <item x="122"/>
        <item x="172"/>
        <item x="128"/>
        <item x="13"/>
        <item x="16"/>
        <item x="131"/>
        <item x="51"/>
        <item x="124"/>
        <item x="185"/>
        <item x="137"/>
        <item x="202"/>
        <item x="119"/>
        <item x="67"/>
        <item x="65"/>
        <item x="198"/>
        <item x="8"/>
        <item x="97"/>
        <item x="143"/>
        <item x="71"/>
        <item x="83"/>
        <item x="177"/>
        <item x="163"/>
        <item x="199"/>
        <item x="30"/>
        <item x="156"/>
        <item x="203"/>
        <item x="48"/>
        <item x="38"/>
        <item x="192"/>
        <item x="171"/>
        <item x="12"/>
        <item x="194"/>
        <item x="191"/>
        <item x="179"/>
        <item x="41"/>
        <item x="60"/>
        <item x="45"/>
        <item x="32"/>
        <item x="136"/>
        <item x="98"/>
        <item x="161"/>
        <item x="182"/>
        <item x="47"/>
        <item x="145"/>
        <item x="149"/>
        <item x="86"/>
        <item x="132"/>
        <item x="68"/>
        <item x="44"/>
        <item x="70"/>
        <item x="153"/>
        <item x="159"/>
        <item x="193"/>
        <item x="187"/>
        <item x="4"/>
        <item x="154"/>
        <item x="183"/>
        <item x="195"/>
        <item x="204"/>
        <item x="174"/>
        <item x="129"/>
        <item x="99"/>
        <item x="108"/>
        <item x="95"/>
        <item x="64"/>
        <item x="39"/>
        <item x="146"/>
        <item x="79"/>
        <item x="125"/>
        <item x="115"/>
        <item x="160"/>
        <item x="36"/>
        <item x="134"/>
        <item x="82"/>
        <item x="158"/>
        <item x="109"/>
        <item x="181"/>
        <item x="24"/>
        <item x="127"/>
        <item x="139"/>
        <item x="170"/>
        <item x="167"/>
        <item x="77"/>
        <item x="164"/>
        <item x="166"/>
        <item x="35"/>
        <item x="25"/>
        <item x="31"/>
        <item x="113"/>
        <item x="42"/>
        <item x="189"/>
        <item x="157"/>
        <item x="73"/>
        <item x="18"/>
        <item x="106"/>
        <item x="78"/>
        <item x="56"/>
        <item x="37"/>
        <item x="59"/>
        <item x="123"/>
        <item x="190"/>
        <item x="26"/>
        <item x="10"/>
        <item x="168"/>
        <item x="23"/>
        <item x="90"/>
        <item x="205"/>
        <item x="178"/>
        <item x="118"/>
        <item x="188"/>
        <item x="57"/>
        <item x="72"/>
        <item x="142"/>
        <item x="34"/>
        <item x="52"/>
        <item x="21"/>
        <item t="default"/>
      </items>
    </pivotField>
    <pivotField showAll="0">
      <items count="3">
        <item x="0"/>
        <item x="1"/>
        <item t="default"/>
      </items>
    </pivotField>
    <pivotField showAll="0">
      <items count="54">
        <item x="28"/>
        <item x="2"/>
        <item x="38"/>
        <item x="37"/>
        <item x="36"/>
        <item x="22"/>
        <item x="16"/>
        <item x="11"/>
        <item x="25"/>
        <item x="1"/>
        <item x="12"/>
        <item x="50"/>
        <item x="34"/>
        <item x="26"/>
        <item x="19"/>
        <item x="3"/>
        <item x="9"/>
        <item x="17"/>
        <item x="31"/>
        <item x="8"/>
        <item x="4"/>
        <item x="7"/>
        <item x="35"/>
        <item x="32"/>
        <item x="20"/>
        <item x="21"/>
        <item x="44"/>
        <item x="6"/>
        <item x="23"/>
        <item x="41"/>
        <item x="24"/>
        <item x="15"/>
        <item x="33"/>
        <item x="51"/>
        <item x="13"/>
        <item x="5"/>
        <item x="30"/>
        <item x="18"/>
        <item x="39"/>
        <item x="10"/>
        <item x="27"/>
        <item x="29"/>
        <item x="40"/>
        <item x="46"/>
        <item x="47"/>
        <item x="45"/>
        <item x="52"/>
        <item x="48"/>
        <item x="0"/>
        <item x="49"/>
        <item x="14"/>
        <item x="42"/>
        <item x="43"/>
        <item t="default"/>
      </items>
    </pivotField>
    <pivotField showAll="0">
      <items count="8">
        <item x="4"/>
        <item x="3"/>
        <item x="5"/>
        <item x="1"/>
        <item x="0"/>
        <item x="6"/>
        <item x="2"/>
        <item t="default"/>
      </items>
    </pivotField>
    <pivotField showAll="0"/>
    <pivotField showAll="0"/>
    <pivotField axis="axisCol" showAll="0">
      <items count="3">
        <item x="0"/>
        <item x="1"/>
        <item t="default"/>
      </items>
    </pivotField>
    <pivotField showAll="0"/>
    <pivotField showAll="0"/>
    <pivotField showAll="0"/>
    <pivotField showAll="0">
      <items count="5">
        <item x="1"/>
        <item x="0"/>
        <item x="3"/>
        <item x="2"/>
        <item t="default"/>
      </items>
    </pivotField>
    <pivotField showAll="0"/>
    <pivotField axis="axisRow" showAll="0">
      <items count="3">
        <item x="0"/>
        <item x="1"/>
        <item t="default"/>
      </items>
    </pivotField>
    <pivotField showAll="0"/>
  </pivotFields>
  <rowFields count="1">
    <field x="13"/>
  </rowFields>
  <rowItems count="3">
    <i>
      <x/>
    </i>
    <i>
      <x v="1"/>
    </i>
    <i t="grand">
      <x/>
    </i>
  </rowItems>
  <colFields count="1">
    <field x="7"/>
  </colFields>
  <colItems count="3">
    <i>
      <x/>
    </i>
    <i>
      <x v="1"/>
    </i>
    <i t="grand">
      <x/>
    </i>
  </colItems>
  <dataFields count="1">
    <dataField name="Percentage of Malaria by Age group" fld="0" subtotal="count" showDataAs="percentOfRow" baseField="0" baseItem="0" numFmtId="10"/>
  </dataFields>
  <formats count="6">
    <format dxfId="5">
      <pivotArea collapsedLevelsAreSubtotals="1" fieldPosition="0">
        <references count="2">
          <reference field="7" count="1" selected="0">
            <x v="0"/>
          </reference>
          <reference field="13" count="1">
            <x v="0"/>
          </reference>
        </references>
      </pivotArea>
    </format>
    <format dxfId="6">
      <pivotArea collapsedLevelsAreSubtotals="1" fieldPosition="0">
        <references count="2">
          <reference field="7" count="1" selected="0">
            <x v="0"/>
          </reference>
          <reference field="13" count="1">
            <x v="1"/>
          </reference>
        </references>
      </pivotArea>
    </format>
    <format dxfId="7">
      <pivotArea collapsedLevelsAreSubtotals="1" fieldPosition="0">
        <references count="2">
          <reference field="7" count="1" selected="0">
            <x v="1"/>
          </reference>
          <reference field="13" count="1">
            <x v="0"/>
          </reference>
        </references>
      </pivotArea>
    </format>
    <format dxfId="8">
      <pivotArea collapsedLevelsAreSubtotals="1" fieldPosition="0">
        <references count="2">
          <reference field="7" count="1" selected="0">
            <x v="1"/>
          </reference>
          <reference field="13" count="1">
            <x v="1"/>
          </reference>
        </references>
      </pivotArea>
    </format>
    <format dxfId="9">
      <pivotArea field="13" grandCol="1" collapsedLevelsAreSubtotals="1" axis="axisRow" fieldPosition="0">
        <references count="1">
          <reference field="13" count="1">
            <x v="0"/>
          </reference>
        </references>
      </pivotArea>
    </format>
    <format dxfId="10">
      <pivotArea field="13" grandCol="1" collapsedLevelsAreSubtotals="1" axis="axisRow" fieldPosition="0">
        <references count="1">
          <reference field="13" count="1">
            <x v="1"/>
          </reference>
        </references>
      </pivotArea>
    </format>
  </formats>
  <chartFormats count="3">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E4F406-448A-CB4F-B978-2C1D71C3F4E5}" name="PivotTable1"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 Ward">
  <location ref="A3:B11" firstHeaderRow="1" firstDataRow="1" firstDataCol="1"/>
  <pivotFields count="15">
    <pivotField dataField="1" showAll="0"/>
    <pivotField numFmtId="164" showAll="0">
      <items count="208">
        <item x="117"/>
        <item x="144"/>
        <item x="9"/>
        <item x="155"/>
        <item x="81"/>
        <item x="116"/>
        <item x="112"/>
        <item x="165"/>
        <item x="173"/>
        <item x="33"/>
        <item x="133"/>
        <item x="162"/>
        <item x="43"/>
        <item x="110"/>
        <item x="130"/>
        <item x="27"/>
        <item x="7"/>
        <item x="6"/>
        <item x="3"/>
        <item x="88"/>
        <item x="103"/>
        <item x="5"/>
        <item x="169"/>
        <item x="102"/>
        <item x="197"/>
        <item x="1"/>
        <item x="93"/>
        <item x="111"/>
        <item x="49"/>
        <item x="104"/>
        <item x="63"/>
        <item x="140"/>
        <item x="58"/>
        <item x="2"/>
        <item x="53"/>
        <item x="120"/>
        <item x="180"/>
        <item x="92"/>
        <item x="66"/>
        <item x="114"/>
        <item x="94"/>
        <item x="87"/>
        <item x="186"/>
        <item x="184"/>
        <item x="55"/>
        <item x="74"/>
        <item x="69"/>
        <item x="15"/>
        <item x="91"/>
        <item x="29"/>
        <item x="20"/>
        <item x="175"/>
        <item x="150"/>
        <item x="148"/>
        <item x="14"/>
        <item x="100"/>
        <item x="96"/>
        <item x="85"/>
        <item x="196"/>
        <item x="50"/>
        <item x="62"/>
        <item x="151"/>
        <item x="200"/>
        <item x="121"/>
        <item x="22"/>
        <item x="89"/>
        <item x="84"/>
        <item x="101"/>
        <item x="126"/>
        <item x="107"/>
        <item x="75"/>
        <item x="76"/>
        <item x="201"/>
        <item x="206"/>
        <item x="152"/>
        <item x="61"/>
        <item x="80"/>
        <item x="135"/>
        <item x="40"/>
        <item x="147"/>
        <item x="46"/>
        <item x="105"/>
        <item x="0"/>
        <item x="141"/>
        <item x="54"/>
        <item x="176"/>
        <item x="28"/>
        <item x="11"/>
        <item x="17"/>
        <item x="138"/>
        <item x="19"/>
        <item x="122"/>
        <item x="172"/>
        <item x="128"/>
        <item x="13"/>
        <item x="16"/>
        <item x="131"/>
        <item x="51"/>
        <item x="124"/>
        <item x="185"/>
        <item x="137"/>
        <item x="202"/>
        <item x="119"/>
        <item x="67"/>
        <item x="65"/>
        <item x="198"/>
        <item x="8"/>
        <item x="97"/>
        <item x="143"/>
        <item x="71"/>
        <item x="83"/>
        <item x="177"/>
        <item x="163"/>
        <item x="199"/>
        <item x="30"/>
        <item x="156"/>
        <item x="203"/>
        <item x="48"/>
        <item x="38"/>
        <item x="192"/>
        <item x="171"/>
        <item x="12"/>
        <item x="194"/>
        <item x="191"/>
        <item x="179"/>
        <item x="41"/>
        <item x="60"/>
        <item x="45"/>
        <item x="32"/>
        <item x="136"/>
        <item x="98"/>
        <item x="161"/>
        <item x="182"/>
        <item x="47"/>
        <item x="145"/>
        <item x="149"/>
        <item x="86"/>
        <item x="132"/>
        <item x="68"/>
        <item x="44"/>
        <item x="70"/>
        <item x="153"/>
        <item x="159"/>
        <item x="193"/>
        <item x="187"/>
        <item x="4"/>
        <item x="154"/>
        <item x="183"/>
        <item x="195"/>
        <item x="204"/>
        <item x="174"/>
        <item x="129"/>
        <item x="99"/>
        <item x="108"/>
        <item x="95"/>
        <item x="64"/>
        <item x="39"/>
        <item x="146"/>
        <item x="79"/>
        <item x="125"/>
        <item x="115"/>
        <item x="160"/>
        <item x="36"/>
        <item x="134"/>
        <item x="82"/>
        <item x="158"/>
        <item x="109"/>
        <item x="181"/>
        <item x="24"/>
        <item x="127"/>
        <item x="139"/>
        <item x="170"/>
        <item x="167"/>
        <item x="77"/>
        <item x="164"/>
        <item x="166"/>
        <item x="35"/>
        <item x="25"/>
        <item x="31"/>
        <item x="113"/>
        <item x="42"/>
        <item x="189"/>
        <item x="157"/>
        <item x="73"/>
        <item x="18"/>
        <item x="106"/>
        <item x="78"/>
        <item x="56"/>
        <item x="37"/>
        <item x="59"/>
        <item x="123"/>
        <item x="190"/>
        <item x="26"/>
        <item x="10"/>
        <item x="168"/>
        <item x="23"/>
        <item x="90"/>
        <item x="205"/>
        <item x="178"/>
        <item x="118"/>
        <item x="188"/>
        <item x="57"/>
        <item x="72"/>
        <item x="142"/>
        <item x="34"/>
        <item x="52"/>
        <item x="21"/>
        <item t="default"/>
      </items>
    </pivotField>
    <pivotField showAll="0">
      <items count="3">
        <item x="0"/>
        <item x="1"/>
        <item t="default"/>
      </items>
    </pivotField>
    <pivotField showAll="0"/>
    <pivotField axis="axisRow" showAll="0">
      <items count="8">
        <item x="4"/>
        <item x="3"/>
        <item x="5"/>
        <item x="1"/>
        <item x="0"/>
        <item x="6"/>
        <item x="2"/>
        <item t="default"/>
      </items>
    </pivotField>
    <pivotField showAll="0"/>
    <pivotField showAll="0"/>
    <pivotField showAll="0">
      <items count="3">
        <item x="0"/>
        <item x="1"/>
        <item t="default"/>
      </items>
    </pivotField>
    <pivotField showAll="0"/>
    <pivotField showAll="0"/>
    <pivotField showAll="0"/>
    <pivotField showAll="0">
      <items count="5">
        <item x="1"/>
        <item x="0"/>
        <item x="3"/>
        <item x="2"/>
        <item t="default"/>
      </items>
    </pivotField>
    <pivotField showAll="0"/>
    <pivotField showAll="0"/>
    <pivotField showAll="0"/>
  </pivotFields>
  <rowFields count="1">
    <field x="4"/>
  </rowFields>
  <rowItems count="8">
    <i>
      <x/>
    </i>
    <i>
      <x v="1"/>
    </i>
    <i>
      <x v="2"/>
    </i>
    <i>
      <x v="3"/>
    </i>
    <i>
      <x v="4"/>
    </i>
    <i>
      <x v="5"/>
    </i>
    <i>
      <x v="6"/>
    </i>
    <i t="grand">
      <x/>
    </i>
  </rowItems>
  <colItems count="1">
    <i/>
  </colItems>
  <dataFields count="1">
    <dataField name="Visits by Wards"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B0A7CC4A-78A7-3D4C-8633-092AA843B1C0}" sourceName="Outcome">
  <pivotTables>
    <pivotTable tabId="3" name="PivotTable5"/>
    <pivotTable tabId="3" name="PivotTable1"/>
    <pivotTable tabId="3" name="PivotTable6"/>
    <pivotTable tabId="3" name="PivotTable7"/>
    <pivotTable tabId="3" name="PivotTable8"/>
    <pivotTable tabId="3" name="PivotTable9"/>
    <pivotTable tabId="3" name="PivotTable10"/>
    <pivotTable tabId="3" name="PivotTable11"/>
  </pivotTables>
  <data>
    <tabular pivotCacheId="1080109021">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d" xr10:uid="{7B5EA548-9932-C34C-B9C6-E24C3AB74F83}" sourceName="Ward">
  <pivotTables>
    <pivotTable tabId="3" name="PivotTable5"/>
    <pivotTable tabId="3" name="PivotTable1"/>
    <pivotTable tabId="3" name="PivotTable6"/>
    <pivotTable tabId="3" name="PivotTable7"/>
    <pivotTable tabId="3" name="PivotTable8"/>
    <pivotTable tabId="3" name="PivotTable9"/>
    <pivotTable tabId="3" name="PivotTable10"/>
    <pivotTable tabId="3" name="PivotTable11"/>
  </pivotTables>
  <data>
    <tabular pivotCacheId="1080109021">
      <items count="7">
        <i x="4" s="1"/>
        <i x="3" s="1"/>
        <i x="5" s="1"/>
        <i x="1" s="1"/>
        <i x="0" s="1"/>
        <i x="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D0DB9103-026B-304F-8D65-71074473855E}" sourceName="Sex">
  <pivotTables>
    <pivotTable tabId="3" name="PivotTable5"/>
    <pivotTable tabId="3" name="PivotTable1"/>
    <pivotTable tabId="3" name="PivotTable6"/>
    <pivotTable tabId="3" name="PivotTable7"/>
    <pivotTable tabId="3" name="PivotTable8"/>
    <pivotTable tabId="3" name="PivotTable9"/>
    <pivotTable tabId="3" name="PivotTable10"/>
    <pivotTable tabId="3" name="PivotTable11"/>
  </pivotTables>
  <data>
    <tabular pivotCacheId="108010902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aria_Status" xr10:uid="{A505E699-7E37-0E4C-8F32-F10E00AA3890}" sourceName="Malaria_Status">
  <pivotTables>
    <pivotTable tabId="3" name="PivotTable5"/>
    <pivotTable tabId="3" name="PivotTable1"/>
    <pivotTable tabId="3" name="PivotTable6"/>
    <pivotTable tabId="3" name="PivotTable7"/>
    <pivotTable tabId="3" name="PivotTable8"/>
    <pivotTable tabId="3" name="PivotTable9"/>
    <pivotTable tabId="3" name="PivotTable10"/>
    <pivotTable tabId="3" name="PivotTable11"/>
  </pivotTables>
  <data>
    <tabular pivotCacheId="108010902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 1" xr10:uid="{D78B30EA-BBFD-6A40-89B9-F39B47CEF803}" cache="Slicer_Outcome" caption="Outcom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 xr10:uid="{B5FB067E-D0A0-234A-A289-D2430C1163CC}" cache="Slicer_Outcome" caption="Outcome" rowHeight="230716"/>
  <slicer name="Ward" xr10:uid="{348E153E-B7E0-0B4F-B64E-C3B4C6437D1E}" cache="Slicer_Ward" caption="Ward" rowHeight="230716"/>
  <slicer name="Sex" xr10:uid="{2E099992-4DB0-C946-AC56-A73F3CFEC281}" cache="Slicer_Sex" caption="Sex" rowHeight="230716"/>
  <slicer name="Malaria_Status" xr10:uid="{107C7778-B7BB-6244-BE4C-7C4E880C266E}" cache="Slicer_Malaria_Status" caption="Malaria_Statu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inicData" displayName="ClinicData" ref="A1:Q301">
  <autoFilter ref="A1:Q301" xr:uid="{00000000-0009-0000-0100-000001000000}"/>
  <tableColumns count="17">
    <tableColumn id="1" xr3:uid="{00000000-0010-0000-0000-000001000000}" name="Patient_ID"/>
    <tableColumn id="2" xr3:uid="{00000000-0010-0000-0000-000002000000}" name="Visit_Date"/>
    <tableColumn id="3" xr3:uid="{00000000-0010-0000-0000-000003000000}" name="Sex"/>
    <tableColumn id="4" xr3:uid="{00000000-0010-0000-0000-000004000000}" name="Age"/>
    <tableColumn id="5" xr3:uid="{00000000-0010-0000-0000-000005000000}" name="Ward"/>
    <tableColumn id="6" xr3:uid="{00000000-0010-0000-0000-000006000000}" name="Diagnosis"/>
    <tableColumn id="7" xr3:uid="{00000000-0010-0000-0000-000007000000}" name="Hb_g_dL"/>
    <tableColumn id="8" xr3:uid="{00000000-0010-0000-0000-000008000000}" name="Malaria_Status"/>
    <tableColumn id="9" xr3:uid="{00000000-0010-0000-0000-000009000000}" name="Temperature_C"/>
    <tableColumn id="10" xr3:uid="{00000000-0010-0000-0000-00000A000000}" name="WBC_x10^9_L"/>
    <tableColumn id="11" xr3:uid="{00000000-0010-0000-0000-00000B000000}" name="Length_of_Stay_Days"/>
    <tableColumn id="12" xr3:uid="{00000000-0010-0000-0000-00000C000000}" name="Outcome"/>
    <tableColumn id="13" xr3:uid="{00000000-0010-0000-0000-00000D000000}" name="Anemia_Status"/>
    <tableColumn id="14" xr3:uid="{00000000-0010-0000-0000-00000E000000}" name="Age_Group"/>
    <tableColumn id="15" xr3:uid="{00000000-0010-0000-0000-00000F000000}" name="Month"/>
    <tableColumn id="16" xr3:uid="{440C820D-B47C-5643-8A44-433C4B7E1FF6}" name="male_HB" dataDxfId="11">
      <calculatedColumnFormula>IF(ClinicData[[#This Row],[Sex]]= "Male", ClinicData[[#This Row],[Hb_g_dL]], "")</calculatedColumnFormula>
    </tableColumn>
    <tableColumn id="17" xr3:uid="{C93BD0F6-97AB-AF41-A4EA-02C4AC3E7C8A}" name="Female_HB" dataDxfId="12">
      <calculatedColumnFormula>IF(ClinicData[[#This Row],[Sex]]="Female",ClinicData[[#This Row],[Hb_g_dL]], "")</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Visit_Date" xr10:uid="{1EF2E927-7DB7-074D-9A47-0B36469949E5}" sourceName="Visit_Date">
  <pivotTables>
    <pivotTable tabId="3" name="PivotTable5"/>
    <pivotTable tabId="3" name="PivotTable1"/>
    <pivotTable tabId="3" name="PivotTable6"/>
    <pivotTable tabId="3" name="PivotTable7"/>
    <pivotTable tabId="3" name="PivotTable8"/>
    <pivotTable tabId="3" name="PivotTable9"/>
    <pivotTable tabId="3" name="PivotTable10"/>
    <pivotTable tabId="3" name="PivotTable11"/>
  </pivotTables>
  <state minimalRefreshVersion="6" lastRefreshVersion="6" pivotCacheId="108010902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Visit_Date" xr10:uid="{823EADD9-2E75-8D44-B0E3-B2797388B065}" cache="NativeTimeline_Visit_Date" caption="Visit_Date" level="2" selectionLevel="2" scrollPosition="2025-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4B60E-AAC2-9149-92D4-CA4E218A14DE}">
  <dimension ref="A3:J34"/>
  <sheetViews>
    <sheetView workbookViewId="0">
      <selection activeCell="H19" sqref="H19:H20"/>
    </sheetView>
  </sheetViews>
  <sheetFormatPr baseColWidth="10" defaultRowHeight="15" x14ac:dyDescent="0.2"/>
  <cols>
    <col min="1" max="1" width="11.6640625" bestFit="1" customWidth="1"/>
    <col min="2" max="2" width="10" bestFit="1" customWidth="1"/>
    <col min="3" max="3" width="12" bestFit="1" customWidth="1"/>
    <col min="4" max="4" width="28.83203125" bestFit="1" customWidth="1"/>
    <col min="5" max="5" width="8" bestFit="1" customWidth="1"/>
    <col min="6" max="6" width="7.33203125" bestFit="1" customWidth="1"/>
    <col min="7" max="9" width="10" bestFit="1" customWidth="1"/>
    <col min="10" max="10" width="15.83203125" bestFit="1" customWidth="1"/>
    <col min="11" max="12" width="4.1640625" bestFit="1" customWidth="1"/>
    <col min="13" max="13" width="2.1640625" bestFit="1" customWidth="1"/>
    <col min="14" max="15" width="4.1640625" bestFit="1" customWidth="1"/>
    <col min="16" max="16" width="2.1640625" bestFit="1" customWidth="1"/>
    <col min="17" max="27" width="4.1640625" bestFit="1" customWidth="1"/>
    <col min="28" max="28" width="3.1640625" bestFit="1" customWidth="1"/>
    <col min="29" max="36" width="5.1640625" bestFit="1" customWidth="1"/>
    <col min="37" max="37" width="3.1640625" bestFit="1" customWidth="1"/>
    <col min="38" max="46" width="5.1640625" bestFit="1" customWidth="1"/>
    <col min="47" max="47" width="3.1640625" bestFit="1" customWidth="1"/>
    <col min="48" max="56" width="5.1640625" bestFit="1" customWidth="1"/>
    <col min="57" max="57" width="3.1640625" bestFit="1" customWidth="1"/>
    <col min="58" max="66" width="5.1640625" bestFit="1" customWidth="1"/>
    <col min="67" max="67" width="3.1640625" bestFit="1" customWidth="1"/>
    <col min="68" max="76" width="5.1640625" bestFit="1" customWidth="1"/>
    <col min="77" max="77" width="3.1640625" bestFit="1" customWidth="1"/>
    <col min="78" max="84" width="5.1640625" bestFit="1" customWidth="1"/>
    <col min="85" max="85" width="3.1640625" bestFit="1" customWidth="1"/>
    <col min="86" max="91" width="5.1640625" bestFit="1" customWidth="1"/>
    <col min="92" max="92" width="10" bestFit="1" customWidth="1"/>
  </cols>
  <sheetData>
    <row r="3" spans="1:10" x14ac:dyDescent="0.2">
      <c r="A3" s="3" t="s">
        <v>62</v>
      </c>
      <c r="B3" t="s">
        <v>63</v>
      </c>
      <c r="D3" s="3" t="s">
        <v>64</v>
      </c>
      <c r="E3" s="3" t="s">
        <v>66</v>
      </c>
      <c r="I3" s="3" t="s">
        <v>2</v>
      </c>
      <c r="J3" t="s">
        <v>67</v>
      </c>
    </row>
    <row r="4" spans="1:10" x14ac:dyDescent="0.2">
      <c r="A4" s="4" t="s">
        <v>30</v>
      </c>
      <c r="B4" s="5">
        <v>24</v>
      </c>
      <c r="D4" s="3" t="s">
        <v>65</v>
      </c>
      <c r="E4" t="s">
        <v>18</v>
      </c>
      <c r="F4" t="s">
        <v>31</v>
      </c>
      <c r="G4" t="s">
        <v>39</v>
      </c>
      <c r="I4" s="4" t="s">
        <v>15</v>
      </c>
      <c r="J4" s="5">
        <v>135</v>
      </c>
    </row>
    <row r="5" spans="1:10" x14ac:dyDescent="0.2">
      <c r="A5" s="4" t="s">
        <v>28</v>
      </c>
      <c r="B5" s="5">
        <v>56</v>
      </c>
      <c r="D5" s="4" t="s">
        <v>55</v>
      </c>
      <c r="E5" s="7">
        <v>0.77358490566037741</v>
      </c>
      <c r="F5" s="7">
        <v>0.22641509433962265</v>
      </c>
      <c r="G5" s="7">
        <v>1</v>
      </c>
      <c r="I5" s="4" t="s">
        <v>22</v>
      </c>
      <c r="J5" s="5">
        <v>165</v>
      </c>
    </row>
    <row r="6" spans="1:10" x14ac:dyDescent="0.2">
      <c r="A6" s="4" t="s">
        <v>33</v>
      </c>
      <c r="B6" s="5">
        <v>23</v>
      </c>
      <c r="D6" s="4" t="s">
        <v>56</v>
      </c>
      <c r="E6" s="7">
        <v>0.64948453608247425</v>
      </c>
      <c r="F6" s="7">
        <v>0.35051546391752575</v>
      </c>
      <c r="G6" s="7">
        <v>1</v>
      </c>
      <c r="I6" s="4" t="s">
        <v>39</v>
      </c>
      <c r="J6" s="5">
        <v>300</v>
      </c>
    </row>
    <row r="7" spans="1:10" x14ac:dyDescent="0.2">
      <c r="A7" s="4" t="s">
        <v>23</v>
      </c>
      <c r="B7" s="5">
        <v>50</v>
      </c>
      <c r="D7" s="4" t="s">
        <v>39</v>
      </c>
      <c r="E7" s="6">
        <v>0.69333333333333336</v>
      </c>
      <c r="F7" s="6">
        <v>0.30666666666666664</v>
      </c>
      <c r="G7" s="6">
        <v>1</v>
      </c>
    </row>
    <row r="8" spans="1:10" x14ac:dyDescent="0.2">
      <c r="A8" s="4" t="s">
        <v>16</v>
      </c>
      <c r="B8" s="5">
        <v>78</v>
      </c>
    </row>
    <row r="9" spans="1:10" x14ac:dyDescent="0.2">
      <c r="A9" s="4" t="s">
        <v>37</v>
      </c>
      <c r="B9" s="5">
        <v>23</v>
      </c>
    </row>
    <row r="10" spans="1:10" x14ac:dyDescent="0.2">
      <c r="A10" s="4" t="s">
        <v>25</v>
      </c>
      <c r="B10" s="5">
        <v>46</v>
      </c>
    </row>
    <row r="11" spans="1:10" x14ac:dyDescent="0.2">
      <c r="A11" s="4" t="s">
        <v>39</v>
      </c>
      <c r="B11" s="5">
        <v>300</v>
      </c>
    </row>
    <row r="19" spans="1:8" x14ac:dyDescent="0.2">
      <c r="A19" s="3" t="s">
        <v>66</v>
      </c>
      <c r="B19" t="s">
        <v>68</v>
      </c>
      <c r="D19" t="s">
        <v>61</v>
      </c>
      <c r="H19" t="s">
        <v>69</v>
      </c>
    </row>
    <row r="20" spans="1:8" x14ac:dyDescent="0.2">
      <c r="A20" s="4" t="s">
        <v>41</v>
      </c>
      <c r="B20" s="5">
        <v>25</v>
      </c>
      <c r="D20" s="5">
        <v>300</v>
      </c>
      <c r="H20" s="5">
        <v>12.449333333333337</v>
      </c>
    </row>
    <row r="21" spans="1:8" x14ac:dyDescent="0.2">
      <c r="A21" s="4" t="s">
        <v>42</v>
      </c>
      <c r="B21" s="5">
        <v>20</v>
      </c>
    </row>
    <row r="22" spans="1:8" x14ac:dyDescent="0.2">
      <c r="A22" s="4" t="s">
        <v>43</v>
      </c>
      <c r="B22" s="5">
        <v>22</v>
      </c>
    </row>
    <row r="23" spans="1:8" x14ac:dyDescent="0.2">
      <c r="A23" s="4" t="s">
        <v>44</v>
      </c>
      <c r="B23" s="5">
        <v>25</v>
      </c>
    </row>
    <row r="24" spans="1:8" x14ac:dyDescent="0.2">
      <c r="A24" s="4" t="s">
        <v>45</v>
      </c>
      <c r="B24" s="5">
        <v>25</v>
      </c>
      <c r="D24" s="3" t="s">
        <v>38</v>
      </c>
      <c r="E24" t="s">
        <v>40</v>
      </c>
    </row>
    <row r="25" spans="1:8" x14ac:dyDescent="0.2">
      <c r="A25" s="4" t="s">
        <v>46</v>
      </c>
      <c r="B25" s="5">
        <v>26</v>
      </c>
      <c r="D25" s="4" t="s">
        <v>18</v>
      </c>
      <c r="E25" s="7">
        <v>0.69333333333333336</v>
      </c>
    </row>
    <row r="26" spans="1:8" x14ac:dyDescent="0.2">
      <c r="A26" s="4" t="s">
        <v>47</v>
      </c>
      <c r="B26" s="5">
        <v>19</v>
      </c>
      <c r="D26" s="4" t="s">
        <v>31</v>
      </c>
      <c r="E26" s="7">
        <v>0.30666666666666664</v>
      </c>
    </row>
    <row r="27" spans="1:8" x14ac:dyDescent="0.2">
      <c r="A27" s="4" t="s">
        <v>48</v>
      </c>
      <c r="B27" s="5">
        <v>23</v>
      </c>
      <c r="D27" s="4" t="s">
        <v>39</v>
      </c>
      <c r="E27" s="6">
        <v>1</v>
      </c>
    </row>
    <row r="28" spans="1:8" x14ac:dyDescent="0.2">
      <c r="A28" s="4" t="s">
        <v>49</v>
      </c>
      <c r="B28" s="5">
        <v>16</v>
      </c>
    </row>
    <row r="29" spans="1:8" x14ac:dyDescent="0.2">
      <c r="A29" s="4" t="s">
        <v>50</v>
      </c>
      <c r="B29" s="5">
        <v>17</v>
      </c>
    </row>
    <row r="30" spans="1:8" x14ac:dyDescent="0.2">
      <c r="A30" s="4" t="s">
        <v>51</v>
      </c>
      <c r="B30" s="5">
        <v>21</v>
      </c>
    </row>
    <row r="31" spans="1:8" x14ac:dyDescent="0.2">
      <c r="A31" s="4" t="s">
        <v>52</v>
      </c>
      <c r="B31" s="5">
        <v>24</v>
      </c>
      <c r="D31" s="3" t="s">
        <v>38</v>
      </c>
      <c r="E31" t="s">
        <v>40</v>
      </c>
    </row>
    <row r="32" spans="1:8" x14ac:dyDescent="0.2">
      <c r="A32" s="4" t="s">
        <v>53</v>
      </c>
      <c r="B32" s="5">
        <v>15</v>
      </c>
      <c r="D32" s="4" t="s">
        <v>60</v>
      </c>
      <c r="E32" s="7">
        <v>0.36</v>
      </c>
    </row>
    <row r="33" spans="1:5" x14ac:dyDescent="0.2">
      <c r="A33" s="4" t="s">
        <v>54</v>
      </c>
      <c r="B33" s="5">
        <v>22</v>
      </c>
      <c r="D33" s="4" t="s">
        <v>59</v>
      </c>
      <c r="E33" s="7">
        <v>0.64</v>
      </c>
    </row>
    <row r="34" spans="1:5" x14ac:dyDescent="0.2">
      <c r="A34" s="4" t="s">
        <v>39</v>
      </c>
      <c r="B34" s="5">
        <v>300</v>
      </c>
      <c r="D34" s="4" t="s">
        <v>39</v>
      </c>
      <c r="E34" s="7">
        <v>1</v>
      </c>
    </row>
  </sheetData>
  <pageMargins left="0.7" right="0.7" top="0.75" bottom="0.75" header="0.3" footer="0.3"/>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02CBC-69A4-A544-975F-D913C6B62E84}">
  <dimension ref="A2:H45"/>
  <sheetViews>
    <sheetView tabSelected="1" zoomScale="80" zoomScaleNormal="80" workbookViewId="0">
      <selection activeCell="C56" sqref="C56"/>
    </sheetView>
  </sheetViews>
  <sheetFormatPr baseColWidth="10" defaultRowHeight="15" x14ac:dyDescent="0.2"/>
  <cols>
    <col min="1" max="1" width="9.5" bestFit="1" customWidth="1"/>
    <col min="2" max="2" width="11.6640625" bestFit="1" customWidth="1"/>
    <col min="3" max="3" width="12.5" bestFit="1" customWidth="1"/>
    <col min="4" max="4" width="22.83203125" customWidth="1"/>
    <col min="5" max="5" width="15" customWidth="1"/>
    <col min="6" max="6" width="13.33203125" customWidth="1"/>
    <col min="7" max="7" width="13.83203125" customWidth="1"/>
    <col min="8" max="8" width="12.83203125" bestFit="1" customWidth="1"/>
    <col min="9" max="9" width="16.33203125" bestFit="1" customWidth="1"/>
    <col min="10" max="90" width="14.83203125" bestFit="1" customWidth="1"/>
    <col min="91" max="91" width="10" bestFit="1" customWidth="1"/>
  </cols>
  <sheetData>
    <row r="2" spans="5:8" ht="16" x14ac:dyDescent="0.2">
      <c r="E2" s="16" t="s">
        <v>70</v>
      </c>
      <c r="F2" s="17" t="s">
        <v>71</v>
      </c>
      <c r="G2" s="17" t="s">
        <v>72</v>
      </c>
      <c r="H2" s="18" t="s">
        <v>73</v>
      </c>
    </row>
    <row r="3" spans="5:8" ht="47" x14ac:dyDescent="0.55000000000000004">
      <c r="E3" s="15">
        <f>GETPIVOTDATA("Patient_ID",Pivots!$D$19)</f>
        <v>300</v>
      </c>
      <c r="F3" s="13">
        <f>GETPIVOTDATA("Patient_ID",Pivots!$D$24,"Malaria_Status","Positive")</f>
        <v>0.30666666666666664</v>
      </c>
      <c r="G3" s="13">
        <f>GETPIVOTDATA("Patient_ID",Pivots!$D$31,"Anemia_Status","Anemic")</f>
        <v>0.36</v>
      </c>
      <c r="H3" s="14">
        <f>GETPIVOTDATA("Hb_g_dL",Pivots!$H$19)</f>
        <v>12.449333333333337</v>
      </c>
    </row>
    <row r="42" spans="1:2" x14ac:dyDescent="0.2">
      <c r="A42" s="10"/>
    </row>
    <row r="43" spans="1:2" ht="31" x14ac:dyDescent="0.35">
      <c r="B43" s="11"/>
    </row>
    <row r="44" spans="1:2" ht="31" x14ac:dyDescent="0.35">
      <c r="B44" s="11"/>
    </row>
    <row r="45" spans="1:2" ht="34" x14ac:dyDescent="0.4">
      <c r="B45"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1"/>
  <sheetViews>
    <sheetView workbookViewId="0">
      <pane ySplit="1" topLeftCell="A2" activePane="bottomLeft" state="frozen"/>
      <selection pane="bottomLeft" activeCell="P2" sqref="P2:Q301"/>
    </sheetView>
  </sheetViews>
  <sheetFormatPr baseColWidth="10" defaultColWidth="8.83203125" defaultRowHeight="15" x14ac:dyDescent="0.2"/>
  <cols>
    <col min="1" max="1" width="10" customWidth="1"/>
    <col min="2" max="2" width="12" customWidth="1"/>
    <col min="3" max="3" width="8" customWidth="1"/>
    <col min="4" max="4" width="6" customWidth="1"/>
    <col min="5" max="5" width="14" customWidth="1"/>
    <col min="6" max="6" width="22" customWidth="1"/>
    <col min="7" max="7" width="9" customWidth="1"/>
    <col min="8" max="10" width="14" customWidth="1"/>
    <col min="11" max="12" width="18" customWidth="1"/>
    <col min="13" max="13" width="14" customWidth="1"/>
    <col min="14" max="14" width="12" customWidth="1"/>
    <col min="15" max="15" width="10" customWidth="1"/>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t="s">
        <v>57</v>
      </c>
      <c r="Q1" t="s">
        <v>58</v>
      </c>
    </row>
    <row r="2" spans="1:17" x14ac:dyDescent="0.2">
      <c r="A2">
        <v>1001</v>
      </c>
      <c r="B2" s="2">
        <v>45823</v>
      </c>
      <c r="C2" t="s">
        <v>15</v>
      </c>
      <c r="D2">
        <v>50</v>
      </c>
      <c r="E2" t="s">
        <v>16</v>
      </c>
      <c r="F2" t="s">
        <v>17</v>
      </c>
      <c r="G2">
        <v>13.2</v>
      </c>
      <c r="H2" t="s">
        <v>18</v>
      </c>
      <c r="I2">
        <v>37.1</v>
      </c>
      <c r="J2">
        <v>8.4</v>
      </c>
      <c r="K2">
        <v>1</v>
      </c>
      <c r="L2" t="s">
        <v>19</v>
      </c>
      <c r="M2" t="str">
        <f t="shared" ref="M2:M65" si="0">IF(G2&lt;12,"Anemic","Normal")</f>
        <v>Normal</v>
      </c>
      <c r="N2" t="str">
        <f t="shared" ref="N2:N65" si="1">IF(D2&lt;30,"Under 30","30 and Above")</f>
        <v>30 and Above</v>
      </c>
      <c r="O2" t="str">
        <f t="shared" ref="O2:O65" si="2">TEXT(B2,"yyyy-mm")</f>
        <v>2025-06</v>
      </c>
      <c r="P2" s="9" t="str">
        <f>IF(ClinicData[[#This Row],[Sex]]= "Male", ClinicData[[#This Row],[Hb_g_dL]], "")</f>
        <v/>
      </c>
      <c r="Q2" s="8">
        <f>IF(ClinicData[[#This Row],[Sex]]="Female",ClinicData[[#This Row],[Hb_g_dL]], "")</f>
        <v>13.2</v>
      </c>
    </row>
    <row r="3" spans="1:17" x14ac:dyDescent="0.2">
      <c r="A3">
        <v>1002</v>
      </c>
      <c r="B3" s="2">
        <v>45704</v>
      </c>
      <c r="C3" t="s">
        <v>15</v>
      </c>
      <c r="D3">
        <v>10</v>
      </c>
      <c r="E3" t="s">
        <v>16</v>
      </c>
      <c r="F3" t="s">
        <v>20</v>
      </c>
      <c r="G3">
        <v>14.3</v>
      </c>
      <c r="H3" t="s">
        <v>18</v>
      </c>
      <c r="I3">
        <v>36.700000000000003</v>
      </c>
      <c r="J3">
        <v>2.7</v>
      </c>
      <c r="K3">
        <v>0</v>
      </c>
      <c r="L3" t="s">
        <v>21</v>
      </c>
      <c r="M3" t="str">
        <f t="shared" si="0"/>
        <v>Normal</v>
      </c>
      <c r="N3" t="str">
        <f t="shared" si="1"/>
        <v>Under 30</v>
      </c>
      <c r="O3" t="str">
        <f t="shared" si="2"/>
        <v>2025-02</v>
      </c>
      <c r="P3" s="9" t="str">
        <f>IF(ClinicData[[#This Row],[Sex]]= "Male", ClinicData[[#This Row],[Hb_g_dL]], "")</f>
        <v/>
      </c>
      <c r="Q3" s="8">
        <f>IF(ClinicData[[#This Row],[Sex]]="Female",ClinicData[[#This Row],[Hb_g_dL]], "")</f>
        <v>14.3</v>
      </c>
    </row>
    <row r="4" spans="1:17" x14ac:dyDescent="0.2">
      <c r="A4">
        <v>1003</v>
      </c>
      <c r="B4" s="2">
        <v>45726</v>
      </c>
      <c r="C4" t="s">
        <v>22</v>
      </c>
      <c r="D4">
        <v>2</v>
      </c>
      <c r="E4" t="s">
        <v>23</v>
      </c>
      <c r="F4" t="s">
        <v>24</v>
      </c>
      <c r="G4">
        <v>16.2</v>
      </c>
      <c r="H4" t="s">
        <v>18</v>
      </c>
      <c r="I4">
        <v>37.6</v>
      </c>
      <c r="J4">
        <v>10.4</v>
      </c>
      <c r="K4">
        <v>4</v>
      </c>
      <c r="L4" t="s">
        <v>19</v>
      </c>
      <c r="M4" t="str">
        <f t="shared" si="0"/>
        <v>Normal</v>
      </c>
      <c r="N4" t="str">
        <f t="shared" si="1"/>
        <v>Under 30</v>
      </c>
      <c r="O4" t="str">
        <f t="shared" si="2"/>
        <v>2025-03</v>
      </c>
      <c r="P4" s="9">
        <f>IF(ClinicData[[#This Row],[Sex]]= "Male", ClinicData[[#This Row],[Hb_g_dL]], "")</f>
        <v>16.2</v>
      </c>
      <c r="Q4" s="8" t="str">
        <f>IF(ClinicData[[#This Row],[Sex]]="Female",ClinicData[[#This Row],[Hb_g_dL]], "")</f>
        <v/>
      </c>
    </row>
    <row r="5" spans="1:17" x14ac:dyDescent="0.2">
      <c r="A5">
        <v>1004</v>
      </c>
      <c r="B5" s="2">
        <v>45690</v>
      </c>
      <c r="C5" t="s">
        <v>15</v>
      </c>
      <c r="D5">
        <v>16</v>
      </c>
      <c r="E5" t="s">
        <v>25</v>
      </c>
      <c r="F5" t="s">
        <v>24</v>
      </c>
      <c r="G5">
        <v>12.4</v>
      </c>
      <c r="H5" t="s">
        <v>18</v>
      </c>
      <c r="I5">
        <v>36.700000000000003</v>
      </c>
      <c r="J5">
        <v>10</v>
      </c>
      <c r="K5">
        <v>3</v>
      </c>
      <c r="L5" t="s">
        <v>19</v>
      </c>
      <c r="M5" t="str">
        <f t="shared" si="0"/>
        <v>Normal</v>
      </c>
      <c r="N5" t="str">
        <f t="shared" si="1"/>
        <v>Under 30</v>
      </c>
      <c r="O5" t="str">
        <f t="shared" si="2"/>
        <v>2025-02</v>
      </c>
      <c r="P5" s="9" t="str">
        <f>IF(ClinicData[[#This Row],[Sex]]= "Male", ClinicData[[#This Row],[Hb_g_dL]], "")</f>
        <v/>
      </c>
      <c r="Q5" s="8">
        <f>IF(ClinicData[[#This Row],[Sex]]="Female",ClinicData[[#This Row],[Hb_g_dL]], "")</f>
        <v>12.4</v>
      </c>
    </row>
    <row r="6" spans="1:17" x14ac:dyDescent="0.2">
      <c r="A6">
        <v>1005</v>
      </c>
      <c r="B6" s="2">
        <v>45952</v>
      </c>
      <c r="C6" t="s">
        <v>22</v>
      </c>
      <c r="D6">
        <v>21</v>
      </c>
      <c r="E6" t="s">
        <v>23</v>
      </c>
      <c r="F6" t="s">
        <v>26</v>
      </c>
      <c r="G6">
        <v>15.1</v>
      </c>
      <c r="H6" t="s">
        <v>18</v>
      </c>
      <c r="I6">
        <v>37.299999999999997</v>
      </c>
      <c r="J6">
        <v>9.1999999999999993</v>
      </c>
      <c r="K6">
        <v>8</v>
      </c>
      <c r="L6" t="s">
        <v>27</v>
      </c>
      <c r="M6" t="str">
        <f t="shared" si="0"/>
        <v>Normal</v>
      </c>
      <c r="N6" t="str">
        <f t="shared" si="1"/>
        <v>Under 30</v>
      </c>
      <c r="O6" t="str">
        <f t="shared" si="2"/>
        <v>2025-10</v>
      </c>
      <c r="P6" s="9">
        <f>IF(ClinicData[[#This Row],[Sex]]= "Male", ClinicData[[#This Row],[Hb_g_dL]], "")</f>
        <v>15.1</v>
      </c>
      <c r="Q6" s="8" t="str">
        <f>IF(ClinicData[[#This Row],[Sex]]="Female",ClinicData[[#This Row],[Hb_g_dL]], "")</f>
        <v/>
      </c>
    </row>
    <row r="7" spans="1:17" x14ac:dyDescent="0.2">
      <c r="A7">
        <v>1006</v>
      </c>
      <c r="B7" s="2">
        <v>45697</v>
      </c>
      <c r="C7" t="s">
        <v>15</v>
      </c>
      <c r="D7">
        <v>36</v>
      </c>
      <c r="E7" t="s">
        <v>25</v>
      </c>
      <c r="F7" t="s">
        <v>17</v>
      </c>
      <c r="G7">
        <v>11.5</v>
      </c>
      <c r="H7" t="s">
        <v>18</v>
      </c>
      <c r="I7">
        <v>35.9</v>
      </c>
      <c r="J7">
        <v>8.6</v>
      </c>
      <c r="K7">
        <v>5</v>
      </c>
      <c r="L7" t="s">
        <v>21</v>
      </c>
      <c r="M7" t="str">
        <f t="shared" si="0"/>
        <v>Anemic</v>
      </c>
      <c r="N7" t="str">
        <f t="shared" si="1"/>
        <v>30 and Above</v>
      </c>
      <c r="O7" t="str">
        <f t="shared" si="2"/>
        <v>2025-02</v>
      </c>
      <c r="P7" s="9" t="str">
        <f>IF(ClinicData[[#This Row],[Sex]]= "Male", ClinicData[[#This Row],[Hb_g_dL]], "")</f>
        <v/>
      </c>
      <c r="Q7" s="8">
        <f>IF(ClinicData[[#This Row],[Sex]]="Female",ClinicData[[#This Row],[Hb_g_dL]], "")</f>
        <v>11.5</v>
      </c>
    </row>
    <row r="8" spans="1:17" x14ac:dyDescent="0.2">
      <c r="A8">
        <v>1007</v>
      </c>
      <c r="B8" s="2">
        <v>45689</v>
      </c>
      <c r="C8" t="s">
        <v>15</v>
      </c>
      <c r="D8">
        <v>16</v>
      </c>
      <c r="E8" t="s">
        <v>28</v>
      </c>
      <c r="F8" t="s">
        <v>29</v>
      </c>
      <c r="G8">
        <v>8.3000000000000007</v>
      </c>
      <c r="H8" t="s">
        <v>18</v>
      </c>
      <c r="I8">
        <v>37.5</v>
      </c>
      <c r="J8">
        <v>6.7</v>
      </c>
      <c r="K8">
        <v>2</v>
      </c>
      <c r="L8" t="s">
        <v>19</v>
      </c>
      <c r="M8" t="str">
        <f t="shared" si="0"/>
        <v>Anemic</v>
      </c>
      <c r="N8" t="str">
        <f t="shared" si="1"/>
        <v>Under 30</v>
      </c>
      <c r="O8" t="str">
        <f t="shared" si="2"/>
        <v>2025-02</v>
      </c>
      <c r="P8" s="9" t="str">
        <f>IF(ClinicData[[#This Row],[Sex]]= "Male", ClinicData[[#This Row],[Hb_g_dL]], "")</f>
        <v/>
      </c>
      <c r="Q8" s="8">
        <f>IF(ClinicData[[#This Row],[Sex]]="Female",ClinicData[[#This Row],[Hb_g_dL]], "")</f>
        <v>8.3000000000000007</v>
      </c>
    </row>
    <row r="9" spans="1:17" x14ac:dyDescent="0.2">
      <c r="A9">
        <v>1008</v>
      </c>
      <c r="B9" s="2">
        <v>45688</v>
      </c>
      <c r="C9" t="s">
        <v>22</v>
      </c>
      <c r="D9">
        <v>28</v>
      </c>
      <c r="E9" t="s">
        <v>30</v>
      </c>
      <c r="F9" t="s">
        <v>24</v>
      </c>
      <c r="G9">
        <v>11.5</v>
      </c>
      <c r="H9" t="s">
        <v>31</v>
      </c>
      <c r="I9">
        <v>37.9</v>
      </c>
      <c r="J9">
        <v>9.9</v>
      </c>
      <c r="K9">
        <v>7</v>
      </c>
      <c r="L9" t="s">
        <v>19</v>
      </c>
      <c r="M9" t="str">
        <f t="shared" si="0"/>
        <v>Anemic</v>
      </c>
      <c r="N9" t="str">
        <f t="shared" si="1"/>
        <v>Under 30</v>
      </c>
      <c r="O9" t="str">
        <f t="shared" si="2"/>
        <v>2025-01</v>
      </c>
      <c r="P9" s="9">
        <f>IF(ClinicData[[#This Row],[Sex]]= "Male", ClinicData[[#This Row],[Hb_g_dL]], "")</f>
        <v>11.5</v>
      </c>
      <c r="Q9" s="8" t="str">
        <f>IF(ClinicData[[#This Row],[Sex]]="Female",ClinicData[[#This Row],[Hb_g_dL]], "")</f>
        <v/>
      </c>
    </row>
    <row r="10" spans="1:17" x14ac:dyDescent="0.2">
      <c r="A10">
        <v>1009</v>
      </c>
      <c r="B10" s="2">
        <v>45870</v>
      </c>
      <c r="C10" t="s">
        <v>15</v>
      </c>
      <c r="D10">
        <v>22</v>
      </c>
      <c r="E10" t="s">
        <v>16</v>
      </c>
      <c r="F10" t="s">
        <v>26</v>
      </c>
      <c r="G10">
        <v>13.1</v>
      </c>
      <c r="H10" t="s">
        <v>18</v>
      </c>
      <c r="I10">
        <v>38.1</v>
      </c>
      <c r="J10">
        <v>7.8</v>
      </c>
      <c r="K10">
        <v>0</v>
      </c>
      <c r="L10" t="s">
        <v>19</v>
      </c>
      <c r="M10" t="str">
        <f t="shared" si="0"/>
        <v>Normal</v>
      </c>
      <c r="N10" t="str">
        <f t="shared" si="1"/>
        <v>Under 30</v>
      </c>
      <c r="O10" t="str">
        <f t="shared" si="2"/>
        <v>2025-08</v>
      </c>
      <c r="P10" s="9" t="str">
        <f>IF(ClinicData[[#This Row],[Sex]]= "Male", ClinicData[[#This Row],[Hb_g_dL]], "")</f>
        <v/>
      </c>
      <c r="Q10" s="8">
        <f>IF(ClinicData[[#This Row],[Sex]]="Female",ClinicData[[#This Row],[Hb_g_dL]], "")</f>
        <v>13.1</v>
      </c>
    </row>
    <row r="11" spans="1:17" x14ac:dyDescent="0.2">
      <c r="A11">
        <v>1010</v>
      </c>
      <c r="B11" s="2">
        <v>45660</v>
      </c>
      <c r="C11" t="s">
        <v>22</v>
      </c>
      <c r="D11">
        <v>20</v>
      </c>
      <c r="E11" t="s">
        <v>16</v>
      </c>
      <c r="F11" t="s">
        <v>32</v>
      </c>
      <c r="G11">
        <v>12.9</v>
      </c>
      <c r="H11" t="s">
        <v>18</v>
      </c>
      <c r="I11">
        <v>36.4</v>
      </c>
      <c r="J11">
        <v>4.5</v>
      </c>
      <c r="K11">
        <v>1</v>
      </c>
      <c r="L11" t="s">
        <v>27</v>
      </c>
      <c r="M11" t="str">
        <f t="shared" si="0"/>
        <v>Normal</v>
      </c>
      <c r="N11" t="str">
        <f t="shared" si="1"/>
        <v>Under 30</v>
      </c>
      <c r="O11" t="str">
        <f t="shared" si="2"/>
        <v>2025-01</v>
      </c>
      <c r="P11" s="9">
        <f>IF(ClinicData[[#This Row],[Sex]]= "Male", ClinicData[[#This Row],[Hb_g_dL]], "")</f>
        <v>12.9</v>
      </c>
      <c r="Q11" s="8" t="str">
        <f>IF(ClinicData[[#This Row],[Sex]]="Female",ClinicData[[#This Row],[Hb_g_dL]], "")</f>
        <v/>
      </c>
    </row>
    <row r="12" spans="1:17" x14ac:dyDescent="0.2">
      <c r="A12">
        <v>1011</v>
      </c>
      <c r="B12" s="2">
        <v>46057</v>
      </c>
      <c r="C12" t="s">
        <v>15</v>
      </c>
      <c r="D12">
        <v>17</v>
      </c>
      <c r="E12" t="s">
        <v>28</v>
      </c>
      <c r="F12" t="s">
        <v>24</v>
      </c>
      <c r="G12">
        <v>11.9</v>
      </c>
      <c r="H12" t="s">
        <v>18</v>
      </c>
      <c r="I12">
        <v>37.6</v>
      </c>
      <c r="J12">
        <v>14.6</v>
      </c>
      <c r="K12">
        <v>1</v>
      </c>
      <c r="L12" t="s">
        <v>19</v>
      </c>
      <c r="M12" t="str">
        <f t="shared" si="0"/>
        <v>Anemic</v>
      </c>
      <c r="N12" t="str">
        <f t="shared" si="1"/>
        <v>Under 30</v>
      </c>
      <c r="O12" t="str">
        <f t="shared" si="2"/>
        <v>2026-02</v>
      </c>
      <c r="P12" s="9" t="str">
        <f>IF(ClinicData[[#This Row],[Sex]]= "Male", ClinicData[[#This Row],[Hb_g_dL]], "")</f>
        <v/>
      </c>
      <c r="Q12" s="8">
        <f>IF(ClinicData[[#This Row],[Sex]]="Female",ClinicData[[#This Row],[Hb_g_dL]], "")</f>
        <v>11.9</v>
      </c>
    </row>
    <row r="13" spans="1:17" x14ac:dyDescent="0.2">
      <c r="A13">
        <v>1012</v>
      </c>
      <c r="B13" s="2">
        <v>45832</v>
      </c>
      <c r="C13" t="s">
        <v>15</v>
      </c>
      <c r="D13">
        <v>10</v>
      </c>
      <c r="E13" t="s">
        <v>16</v>
      </c>
      <c r="F13" t="s">
        <v>26</v>
      </c>
      <c r="G13">
        <v>14.6</v>
      </c>
      <c r="H13" t="s">
        <v>31</v>
      </c>
      <c r="I13">
        <v>38.200000000000003</v>
      </c>
      <c r="J13">
        <v>8.5</v>
      </c>
      <c r="K13">
        <v>1</v>
      </c>
      <c r="L13" t="s">
        <v>21</v>
      </c>
      <c r="M13" t="str">
        <f t="shared" si="0"/>
        <v>Normal</v>
      </c>
      <c r="N13" t="str">
        <f t="shared" si="1"/>
        <v>Under 30</v>
      </c>
      <c r="O13" t="str">
        <f t="shared" si="2"/>
        <v>2025-06</v>
      </c>
      <c r="P13" s="9" t="str">
        <f>IF(ClinicData[[#This Row],[Sex]]= "Male", ClinicData[[#This Row],[Hb_g_dL]], "")</f>
        <v/>
      </c>
      <c r="Q13" s="8">
        <f>IF(ClinicData[[#This Row],[Sex]]="Female",ClinicData[[#This Row],[Hb_g_dL]], "")</f>
        <v>14.6</v>
      </c>
    </row>
    <row r="14" spans="1:17" x14ac:dyDescent="0.2">
      <c r="A14">
        <v>1013</v>
      </c>
      <c r="B14" s="2">
        <v>45900</v>
      </c>
      <c r="C14" t="s">
        <v>22</v>
      </c>
      <c r="D14">
        <v>36</v>
      </c>
      <c r="E14" t="s">
        <v>33</v>
      </c>
      <c r="F14" t="s">
        <v>24</v>
      </c>
      <c r="G14">
        <v>14.3</v>
      </c>
      <c r="H14" t="s">
        <v>18</v>
      </c>
      <c r="I14">
        <v>37.1</v>
      </c>
      <c r="J14">
        <v>7.8</v>
      </c>
      <c r="K14">
        <v>3</v>
      </c>
      <c r="L14" t="s">
        <v>27</v>
      </c>
      <c r="M14" t="str">
        <f t="shared" si="0"/>
        <v>Normal</v>
      </c>
      <c r="N14" t="str">
        <f t="shared" si="1"/>
        <v>30 and Above</v>
      </c>
      <c r="O14" t="str">
        <f t="shared" si="2"/>
        <v>2025-08</v>
      </c>
      <c r="P14" s="9">
        <f>IF(ClinicData[[#This Row],[Sex]]= "Male", ClinicData[[#This Row],[Hb_g_dL]], "")</f>
        <v>14.3</v>
      </c>
      <c r="Q14" s="8" t="str">
        <f>IF(ClinicData[[#This Row],[Sex]]="Female",ClinicData[[#This Row],[Hb_g_dL]], "")</f>
        <v/>
      </c>
    </row>
    <row r="15" spans="1:17" x14ac:dyDescent="0.2">
      <c r="A15">
        <v>1014</v>
      </c>
      <c r="B15" s="2">
        <v>45843</v>
      </c>
      <c r="C15" t="s">
        <v>22</v>
      </c>
      <c r="D15">
        <v>36</v>
      </c>
      <c r="E15" t="s">
        <v>16</v>
      </c>
      <c r="F15" t="s">
        <v>24</v>
      </c>
      <c r="G15">
        <v>15.2</v>
      </c>
      <c r="H15" t="s">
        <v>18</v>
      </c>
      <c r="I15">
        <v>36.299999999999997</v>
      </c>
      <c r="J15">
        <v>8.6</v>
      </c>
      <c r="K15">
        <v>0</v>
      </c>
      <c r="L15" t="s">
        <v>19</v>
      </c>
      <c r="M15" t="str">
        <f t="shared" si="0"/>
        <v>Normal</v>
      </c>
      <c r="N15" t="str">
        <f t="shared" si="1"/>
        <v>30 and Above</v>
      </c>
      <c r="O15" t="str">
        <f t="shared" si="2"/>
        <v>2025-07</v>
      </c>
      <c r="P15" s="9">
        <f>IF(ClinicData[[#This Row],[Sex]]= "Male", ClinicData[[#This Row],[Hb_g_dL]], "")</f>
        <v>15.2</v>
      </c>
      <c r="Q15" s="8" t="str">
        <f>IF(ClinicData[[#This Row],[Sex]]="Female",ClinicData[[#This Row],[Hb_g_dL]], "")</f>
        <v/>
      </c>
    </row>
    <row r="16" spans="1:17" x14ac:dyDescent="0.2">
      <c r="A16">
        <v>1015</v>
      </c>
      <c r="B16" s="2">
        <v>45772</v>
      </c>
      <c r="C16" t="s">
        <v>15</v>
      </c>
      <c r="D16">
        <v>40</v>
      </c>
      <c r="E16" t="s">
        <v>28</v>
      </c>
      <c r="F16" t="s">
        <v>20</v>
      </c>
      <c r="G16">
        <v>15.3</v>
      </c>
      <c r="H16" t="s">
        <v>18</v>
      </c>
      <c r="I16">
        <v>36.9</v>
      </c>
      <c r="J16">
        <v>8.9</v>
      </c>
      <c r="K16">
        <v>2</v>
      </c>
      <c r="L16" t="s">
        <v>21</v>
      </c>
      <c r="M16" t="str">
        <f t="shared" si="0"/>
        <v>Normal</v>
      </c>
      <c r="N16" t="str">
        <f t="shared" si="1"/>
        <v>30 and Above</v>
      </c>
      <c r="O16" t="str">
        <f t="shared" si="2"/>
        <v>2025-04</v>
      </c>
      <c r="P16" s="9" t="str">
        <f>IF(ClinicData[[#This Row],[Sex]]= "Male", ClinicData[[#This Row],[Hb_g_dL]], "")</f>
        <v/>
      </c>
      <c r="Q16" s="8">
        <f>IF(ClinicData[[#This Row],[Sex]]="Female",ClinicData[[#This Row],[Hb_g_dL]], "")</f>
        <v>15.3</v>
      </c>
    </row>
    <row r="17" spans="1:17" x14ac:dyDescent="0.2">
      <c r="A17">
        <v>1016</v>
      </c>
      <c r="B17" s="2">
        <v>45760</v>
      </c>
      <c r="C17" t="s">
        <v>22</v>
      </c>
      <c r="D17">
        <v>16</v>
      </c>
      <c r="E17" t="s">
        <v>16</v>
      </c>
      <c r="F17" t="s">
        <v>26</v>
      </c>
      <c r="G17">
        <v>12.4</v>
      </c>
      <c r="H17" t="s">
        <v>31</v>
      </c>
      <c r="I17">
        <v>38.9</v>
      </c>
      <c r="J17">
        <v>2.6</v>
      </c>
      <c r="K17">
        <v>1</v>
      </c>
      <c r="L17" t="s">
        <v>34</v>
      </c>
      <c r="M17" t="str">
        <f t="shared" si="0"/>
        <v>Normal</v>
      </c>
      <c r="N17" t="str">
        <f t="shared" si="1"/>
        <v>Under 30</v>
      </c>
      <c r="O17" t="str">
        <f t="shared" si="2"/>
        <v>2025-04</v>
      </c>
      <c r="P17" s="9">
        <f>IF(ClinicData[[#This Row],[Sex]]= "Male", ClinicData[[#This Row],[Hb_g_dL]], "")</f>
        <v>12.4</v>
      </c>
      <c r="Q17" s="8" t="str">
        <f>IF(ClinicData[[#This Row],[Sex]]="Female",ClinicData[[#This Row],[Hb_g_dL]], "")</f>
        <v/>
      </c>
    </row>
    <row r="18" spans="1:17" x14ac:dyDescent="0.2">
      <c r="A18">
        <v>1017</v>
      </c>
      <c r="B18" s="2">
        <v>45844</v>
      </c>
      <c r="C18" t="s">
        <v>22</v>
      </c>
      <c r="D18">
        <v>8</v>
      </c>
      <c r="E18" t="s">
        <v>16</v>
      </c>
      <c r="F18" t="s">
        <v>26</v>
      </c>
      <c r="G18">
        <v>14.8</v>
      </c>
      <c r="H18" t="s">
        <v>18</v>
      </c>
      <c r="I18">
        <v>37.9</v>
      </c>
      <c r="J18">
        <v>5</v>
      </c>
      <c r="K18">
        <v>1</v>
      </c>
      <c r="L18" t="s">
        <v>27</v>
      </c>
      <c r="M18" t="str">
        <f t="shared" si="0"/>
        <v>Normal</v>
      </c>
      <c r="N18" t="str">
        <f t="shared" si="1"/>
        <v>Under 30</v>
      </c>
      <c r="O18" t="str">
        <f t="shared" si="2"/>
        <v>2025-07</v>
      </c>
      <c r="P18" s="9">
        <f>IF(ClinicData[[#This Row],[Sex]]= "Male", ClinicData[[#This Row],[Hb_g_dL]], "")</f>
        <v>14.8</v>
      </c>
      <c r="Q18" s="8" t="str">
        <f>IF(ClinicData[[#This Row],[Sex]]="Female",ClinicData[[#This Row],[Hb_g_dL]], "")</f>
        <v/>
      </c>
    </row>
    <row r="19" spans="1:17" x14ac:dyDescent="0.2">
      <c r="A19">
        <v>1018</v>
      </c>
      <c r="B19" s="2">
        <v>45834</v>
      </c>
      <c r="C19" t="s">
        <v>15</v>
      </c>
      <c r="D19">
        <v>11</v>
      </c>
      <c r="E19" t="s">
        <v>16</v>
      </c>
      <c r="F19" t="s">
        <v>35</v>
      </c>
      <c r="G19">
        <v>13.4</v>
      </c>
      <c r="H19" t="s">
        <v>18</v>
      </c>
      <c r="I19">
        <v>38.200000000000003</v>
      </c>
      <c r="J19">
        <v>5.8</v>
      </c>
      <c r="K19">
        <v>0</v>
      </c>
      <c r="L19" t="s">
        <v>21</v>
      </c>
      <c r="M19" t="str">
        <f t="shared" si="0"/>
        <v>Normal</v>
      </c>
      <c r="N19" t="str">
        <f t="shared" si="1"/>
        <v>Under 30</v>
      </c>
      <c r="O19" t="str">
        <f t="shared" si="2"/>
        <v>2025-06</v>
      </c>
      <c r="P19" s="9" t="str">
        <f>IF(ClinicData[[#This Row],[Sex]]= "Male", ClinicData[[#This Row],[Hb_g_dL]], "")</f>
        <v/>
      </c>
      <c r="Q19" s="8">
        <f>IF(ClinicData[[#This Row],[Sex]]="Female",ClinicData[[#This Row],[Hb_g_dL]], "")</f>
        <v>13.4</v>
      </c>
    </row>
    <row r="20" spans="1:17" x14ac:dyDescent="0.2">
      <c r="A20">
        <v>1019</v>
      </c>
      <c r="B20" s="2">
        <v>46027</v>
      </c>
      <c r="C20" t="s">
        <v>22</v>
      </c>
      <c r="D20">
        <v>35</v>
      </c>
      <c r="E20" t="s">
        <v>30</v>
      </c>
      <c r="F20" t="s">
        <v>29</v>
      </c>
      <c r="G20">
        <v>9.6</v>
      </c>
      <c r="H20" t="s">
        <v>18</v>
      </c>
      <c r="I20">
        <v>37.200000000000003</v>
      </c>
      <c r="J20">
        <v>7.9</v>
      </c>
      <c r="K20">
        <v>10</v>
      </c>
      <c r="L20" t="s">
        <v>21</v>
      </c>
      <c r="M20" t="str">
        <f t="shared" si="0"/>
        <v>Anemic</v>
      </c>
      <c r="N20" t="str">
        <f t="shared" si="1"/>
        <v>30 and Above</v>
      </c>
      <c r="O20" t="str">
        <f t="shared" si="2"/>
        <v>2026-01</v>
      </c>
      <c r="P20" s="9">
        <f>IF(ClinicData[[#This Row],[Sex]]= "Male", ClinicData[[#This Row],[Hb_g_dL]], "")</f>
        <v>9.6</v>
      </c>
      <c r="Q20" s="8" t="str">
        <f>IF(ClinicData[[#This Row],[Sex]]="Female",ClinicData[[#This Row],[Hb_g_dL]], "")</f>
        <v/>
      </c>
    </row>
    <row r="21" spans="1:17" x14ac:dyDescent="0.2">
      <c r="A21">
        <v>1020</v>
      </c>
      <c r="B21" s="2">
        <v>45837</v>
      </c>
      <c r="C21" t="s">
        <v>22</v>
      </c>
      <c r="D21">
        <v>22</v>
      </c>
      <c r="E21" t="s">
        <v>16</v>
      </c>
      <c r="F21" t="s">
        <v>32</v>
      </c>
      <c r="G21">
        <v>15.7</v>
      </c>
      <c r="H21" t="s">
        <v>18</v>
      </c>
      <c r="I21">
        <v>37.6</v>
      </c>
      <c r="J21">
        <v>11.6</v>
      </c>
      <c r="K21">
        <v>0</v>
      </c>
      <c r="L21" t="s">
        <v>21</v>
      </c>
      <c r="M21" t="str">
        <f t="shared" si="0"/>
        <v>Normal</v>
      </c>
      <c r="N21" t="str">
        <f t="shared" si="1"/>
        <v>Under 30</v>
      </c>
      <c r="O21" t="str">
        <f t="shared" si="2"/>
        <v>2025-06</v>
      </c>
      <c r="P21" s="9">
        <f>IF(ClinicData[[#This Row],[Sex]]= "Male", ClinicData[[#This Row],[Hb_g_dL]], "")</f>
        <v>15.7</v>
      </c>
      <c r="Q21" s="8" t="str">
        <f>IF(ClinicData[[#This Row],[Sex]]="Female",ClinicData[[#This Row],[Hb_g_dL]], "")</f>
        <v/>
      </c>
    </row>
    <row r="22" spans="1:17" x14ac:dyDescent="0.2">
      <c r="A22">
        <v>1021</v>
      </c>
      <c r="B22" s="2">
        <v>45766</v>
      </c>
      <c r="C22" t="s">
        <v>22</v>
      </c>
      <c r="D22">
        <v>56</v>
      </c>
      <c r="E22" t="s">
        <v>23</v>
      </c>
      <c r="F22" t="s">
        <v>29</v>
      </c>
      <c r="G22">
        <v>8.8000000000000007</v>
      </c>
      <c r="H22" t="s">
        <v>18</v>
      </c>
      <c r="I22">
        <v>36.700000000000003</v>
      </c>
      <c r="J22">
        <v>7.2</v>
      </c>
      <c r="K22">
        <v>10</v>
      </c>
      <c r="L22" t="s">
        <v>19</v>
      </c>
      <c r="M22" t="str">
        <f t="shared" si="0"/>
        <v>Anemic</v>
      </c>
      <c r="N22" t="str">
        <f t="shared" si="1"/>
        <v>30 and Above</v>
      </c>
      <c r="O22" t="str">
        <f t="shared" si="2"/>
        <v>2025-04</v>
      </c>
      <c r="P22" s="9">
        <f>IF(ClinicData[[#This Row],[Sex]]= "Male", ClinicData[[#This Row],[Hb_g_dL]], "")</f>
        <v>8.8000000000000007</v>
      </c>
      <c r="Q22" s="8" t="str">
        <f>IF(ClinicData[[#This Row],[Sex]]="Female",ClinicData[[#This Row],[Hb_g_dL]], "")</f>
        <v/>
      </c>
    </row>
    <row r="23" spans="1:17" x14ac:dyDescent="0.2">
      <c r="A23">
        <v>1022</v>
      </c>
      <c r="B23" s="2">
        <v>46081</v>
      </c>
      <c r="C23" t="s">
        <v>15</v>
      </c>
      <c r="D23">
        <v>16</v>
      </c>
      <c r="E23" t="s">
        <v>23</v>
      </c>
      <c r="F23" t="s">
        <v>24</v>
      </c>
      <c r="G23">
        <v>11.2</v>
      </c>
      <c r="H23" t="s">
        <v>31</v>
      </c>
      <c r="I23">
        <v>38.1</v>
      </c>
      <c r="J23">
        <v>9.1</v>
      </c>
      <c r="K23">
        <v>8</v>
      </c>
      <c r="L23" t="s">
        <v>19</v>
      </c>
      <c r="M23" t="str">
        <f t="shared" si="0"/>
        <v>Anemic</v>
      </c>
      <c r="N23" t="str">
        <f t="shared" si="1"/>
        <v>Under 30</v>
      </c>
      <c r="O23" t="str">
        <f t="shared" si="2"/>
        <v>2026-02</v>
      </c>
      <c r="P23" s="9" t="str">
        <f>IF(ClinicData[[#This Row],[Sex]]= "Male", ClinicData[[#This Row],[Hb_g_dL]], "")</f>
        <v/>
      </c>
      <c r="Q23" s="8">
        <f>IF(ClinicData[[#This Row],[Sex]]="Female",ClinicData[[#This Row],[Hb_g_dL]], "")</f>
        <v>11.2</v>
      </c>
    </row>
    <row r="24" spans="1:17" x14ac:dyDescent="0.2">
      <c r="A24">
        <v>1023</v>
      </c>
      <c r="B24" s="2">
        <v>45689</v>
      </c>
      <c r="C24" t="s">
        <v>22</v>
      </c>
      <c r="D24">
        <v>21</v>
      </c>
      <c r="E24" t="s">
        <v>23</v>
      </c>
      <c r="F24" t="s">
        <v>32</v>
      </c>
      <c r="G24">
        <v>12.1</v>
      </c>
      <c r="H24" t="s">
        <v>31</v>
      </c>
      <c r="I24">
        <v>37.799999999999997</v>
      </c>
      <c r="J24">
        <v>7.9</v>
      </c>
      <c r="K24">
        <v>9</v>
      </c>
      <c r="L24" t="s">
        <v>27</v>
      </c>
      <c r="M24" t="str">
        <f t="shared" si="0"/>
        <v>Normal</v>
      </c>
      <c r="N24" t="str">
        <f t="shared" si="1"/>
        <v>Under 30</v>
      </c>
      <c r="O24" t="str">
        <f t="shared" si="2"/>
        <v>2025-02</v>
      </c>
      <c r="P24" s="9">
        <f>IF(ClinicData[[#This Row],[Sex]]= "Male", ClinicData[[#This Row],[Hb_g_dL]], "")</f>
        <v>12.1</v>
      </c>
      <c r="Q24" s="8" t="str">
        <f>IF(ClinicData[[#This Row],[Sex]]="Female",ClinicData[[#This Row],[Hb_g_dL]], "")</f>
        <v/>
      </c>
    </row>
    <row r="25" spans="1:17" x14ac:dyDescent="0.2">
      <c r="A25">
        <v>1024</v>
      </c>
      <c r="B25" s="2">
        <v>45690</v>
      </c>
      <c r="C25" t="s">
        <v>22</v>
      </c>
      <c r="D25">
        <v>16</v>
      </c>
      <c r="E25" t="s">
        <v>23</v>
      </c>
      <c r="F25" t="s">
        <v>24</v>
      </c>
      <c r="G25">
        <v>11.9</v>
      </c>
      <c r="H25" t="s">
        <v>18</v>
      </c>
      <c r="I25">
        <v>37.200000000000003</v>
      </c>
      <c r="J25">
        <v>3.5</v>
      </c>
      <c r="K25">
        <v>9</v>
      </c>
      <c r="L25" t="s">
        <v>27</v>
      </c>
      <c r="M25" t="str">
        <f t="shared" si="0"/>
        <v>Anemic</v>
      </c>
      <c r="N25" t="str">
        <f t="shared" si="1"/>
        <v>Under 30</v>
      </c>
      <c r="O25" t="str">
        <f t="shared" si="2"/>
        <v>2025-02</v>
      </c>
      <c r="P25" s="9">
        <f>IF(ClinicData[[#This Row],[Sex]]= "Male", ClinicData[[#This Row],[Hb_g_dL]], "")</f>
        <v>11.9</v>
      </c>
      <c r="Q25" s="8" t="str">
        <f>IF(ClinicData[[#This Row],[Sex]]="Female",ClinicData[[#This Row],[Hb_g_dL]], "")</f>
        <v/>
      </c>
    </row>
    <row r="26" spans="1:17" x14ac:dyDescent="0.2">
      <c r="A26">
        <v>1025</v>
      </c>
      <c r="B26" s="2">
        <v>45790</v>
      </c>
      <c r="C26" t="s">
        <v>15</v>
      </c>
      <c r="D26">
        <v>32</v>
      </c>
      <c r="E26" t="s">
        <v>16</v>
      </c>
      <c r="F26" t="s">
        <v>35</v>
      </c>
      <c r="G26">
        <v>11.4</v>
      </c>
      <c r="H26" t="s">
        <v>18</v>
      </c>
      <c r="I26">
        <v>37.299999999999997</v>
      </c>
      <c r="J26">
        <v>7.6</v>
      </c>
      <c r="K26">
        <v>0</v>
      </c>
      <c r="L26" t="s">
        <v>21</v>
      </c>
      <c r="M26" t="str">
        <f t="shared" si="0"/>
        <v>Anemic</v>
      </c>
      <c r="N26" t="str">
        <f t="shared" si="1"/>
        <v>30 and Above</v>
      </c>
      <c r="O26" t="str">
        <f t="shared" si="2"/>
        <v>2025-05</v>
      </c>
      <c r="P26" s="9" t="str">
        <f>IF(ClinicData[[#This Row],[Sex]]= "Male", ClinicData[[#This Row],[Hb_g_dL]], "")</f>
        <v/>
      </c>
      <c r="Q26" s="8">
        <f>IF(ClinicData[[#This Row],[Sex]]="Female",ClinicData[[#This Row],[Hb_g_dL]], "")</f>
        <v>11.4</v>
      </c>
    </row>
    <row r="27" spans="1:17" x14ac:dyDescent="0.2">
      <c r="A27">
        <v>1026</v>
      </c>
      <c r="B27" s="2">
        <v>46059</v>
      </c>
      <c r="C27" t="s">
        <v>22</v>
      </c>
      <c r="D27">
        <v>17</v>
      </c>
      <c r="E27" t="s">
        <v>30</v>
      </c>
      <c r="F27" t="s">
        <v>17</v>
      </c>
      <c r="G27">
        <v>13.7</v>
      </c>
      <c r="H27" t="s">
        <v>18</v>
      </c>
      <c r="I27">
        <v>37.299999999999997</v>
      </c>
      <c r="J27">
        <v>3.9</v>
      </c>
      <c r="K27">
        <v>2</v>
      </c>
      <c r="L27" t="s">
        <v>19</v>
      </c>
      <c r="M27" t="str">
        <f t="shared" si="0"/>
        <v>Normal</v>
      </c>
      <c r="N27" t="str">
        <f t="shared" si="1"/>
        <v>Under 30</v>
      </c>
      <c r="O27" t="str">
        <f t="shared" si="2"/>
        <v>2026-02</v>
      </c>
      <c r="P27" s="9">
        <f>IF(ClinicData[[#This Row],[Sex]]= "Male", ClinicData[[#This Row],[Hb_g_dL]], "")</f>
        <v>13.7</v>
      </c>
      <c r="Q27" s="8" t="str">
        <f>IF(ClinicData[[#This Row],[Sex]]="Female",ClinicData[[#This Row],[Hb_g_dL]], "")</f>
        <v/>
      </c>
    </row>
    <row r="28" spans="1:17" x14ac:dyDescent="0.2">
      <c r="A28">
        <v>1027</v>
      </c>
      <c r="B28" s="2">
        <v>45999</v>
      </c>
      <c r="C28" t="s">
        <v>15</v>
      </c>
      <c r="D28">
        <v>7</v>
      </c>
      <c r="E28" t="s">
        <v>33</v>
      </c>
      <c r="F28" t="s">
        <v>35</v>
      </c>
      <c r="G28">
        <v>12.9</v>
      </c>
      <c r="H28" t="s">
        <v>18</v>
      </c>
      <c r="I28">
        <v>36.799999999999997</v>
      </c>
      <c r="J28">
        <v>9.5</v>
      </c>
      <c r="K28">
        <v>3</v>
      </c>
      <c r="L28" t="s">
        <v>19</v>
      </c>
      <c r="M28" t="str">
        <f t="shared" si="0"/>
        <v>Normal</v>
      </c>
      <c r="N28" t="str">
        <f t="shared" si="1"/>
        <v>Under 30</v>
      </c>
      <c r="O28" t="str">
        <f t="shared" si="2"/>
        <v>2025-12</v>
      </c>
      <c r="P28" s="9" t="str">
        <f>IF(ClinicData[[#This Row],[Sex]]= "Male", ClinicData[[#This Row],[Hb_g_dL]], "")</f>
        <v/>
      </c>
      <c r="Q28" s="8">
        <f>IF(ClinicData[[#This Row],[Sex]]="Female",ClinicData[[#This Row],[Hb_g_dL]], "")</f>
        <v>12.9</v>
      </c>
    </row>
    <row r="29" spans="1:17" x14ac:dyDescent="0.2">
      <c r="A29">
        <v>1028</v>
      </c>
      <c r="B29" s="2">
        <v>46018</v>
      </c>
      <c r="C29" t="s">
        <v>22</v>
      </c>
      <c r="D29">
        <v>18</v>
      </c>
      <c r="E29" t="s">
        <v>16</v>
      </c>
      <c r="F29" t="s">
        <v>36</v>
      </c>
      <c r="G29">
        <v>12.4</v>
      </c>
      <c r="H29" t="s">
        <v>18</v>
      </c>
      <c r="I29">
        <v>37.299999999999997</v>
      </c>
      <c r="J29">
        <v>7.3</v>
      </c>
      <c r="K29">
        <v>1</v>
      </c>
      <c r="L29" t="s">
        <v>19</v>
      </c>
      <c r="M29" t="str">
        <f t="shared" si="0"/>
        <v>Normal</v>
      </c>
      <c r="N29" t="str">
        <f t="shared" si="1"/>
        <v>Under 30</v>
      </c>
      <c r="O29" t="str">
        <f t="shared" si="2"/>
        <v>2025-12</v>
      </c>
      <c r="P29" s="9">
        <f>IF(ClinicData[[#This Row],[Sex]]= "Male", ClinicData[[#This Row],[Hb_g_dL]], "")</f>
        <v>12.4</v>
      </c>
      <c r="Q29" s="8" t="str">
        <f>IF(ClinicData[[#This Row],[Sex]]="Female",ClinicData[[#This Row],[Hb_g_dL]], "")</f>
        <v/>
      </c>
    </row>
    <row r="30" spans="1:17" x14ac:dyDescent="0.2">
      <c r="A30">
        <v>1029</v>
      </c>
      <c r="B30" s="2">
        <v>46056</v>
      </c>
      <c r="C30" t="s">
        <v>22</v>
      </c>
      <c r="D30">
        <v>38</v>
      </c>
      <c r="E30" t="s">
        <v>25</v>
      </c>
      <c r="F30" t="s">
        <v>36</v>
      </c>
      <c r="G30">
        <v>11.1</v>
      </c>
      <c r="H30" t="s">
        <v>18</v>
      </c>
      <c r="I30">
        <v>36.299999999999997</v>
      </c>
      <c r="J30">
        <v>6.9</v>
      </c>
      <c r="K30">
        <v>8</v>
      </c>
      <c r="L30" t="s">
        <v>19</v>
      </c>
      <c r="M30" t="str">
        <f t="shared" si="0"/>
        <v>Anemic</v>
      </c>
      <c r="N30" t="str">
        <f t="shared" si="1"/>
        <v>30 and Above</v>
      </c>
      <c r="O30" t="str">
        <f t="shared" si="2"/>
        <v>2026-02</v>
      </c>
      <c r="P30" s="9">
        <f>IF(ClinicData[[#This Row],[Sex]]= "Male", ClinicData[[#This Row],[Hb_g_dL]], "")</f>
        <v>11.1</v>
      </c>
      <c r="Q30" s="8" t="str">
        <f>IF(ClinicData[[#This Row],[Sex]]="Female",ClinicData[[#This Row],[Hb_g_dL]], "")</f>
        <v/>
      </c>
    </row>
    <row r="31" spans="1:17" x14ac:dyDescent="0.2">
      <c r="A31">
        <v>1030</v>
      </c>
      <c r="B31" s="2">
        <v>45687</v>
      </c>
      <c r="C31" t="s">
        <v>15</v>
      </c>
      <c r="D31">
        <v>15</v>
      </c>
      <c r="E31" t="s">
        <v>16</v>
      </c>
      <c r="F31" t="s">
        <v>36</v>
      </c>
      <c r="G31">
        <v>12.6</v>
      </c>
      <c r="H31" t="s">
        <v>18</v>
      </c>
      <c r="I31">
        <v>36.799999999999997</v>
      </c>
      <c r="J31">
        <v>8</v>
      </c>
      <c r="K31">
        <v>0</v>
      </c>
      <c r="L31" t="s">
        <v>19</v>
      </c>
      <c r="M31" t="str">
        <f t="shared" si="0"/>
        <v>Normal</v>
      </c>
      <c r="N31" t="str">
        <f t="shared" si="1"/>
        <v>Under 30</v>
      </c>
      <c r="O31" t="str">
        <f t="shared" si="2"/>
        <v>2025-01</v>
      </c>
      <c r="P31" s="9" t="str">
        <f>IF(ClinicData[[#This Row],[Sex]]= "Male", ClinicData[[#This Row],[Hb_g_dL]], "")</f>
        <v/>
      </c>
      <c r="Q31" s="8">
        <f>IF(ClinicData[[#This Row],[Sex]]="Female",ClinicData[[#This Row],[Hb_g_dL]], "")</f>
        <v>12.6</v>
      </c>
    </row>
    <row r="32" spans="1:17" x14ac:dyDescent="0.2">
      <c r="A32">
        <v>1031</v>
      </c>
      <c r="B32" s="2">
        <v>45831</v>
      </c>
      <c r="C32" t="s">
        <v>15</v>
      </c>
      <c r="D32">
        <v>25</v>
      </c>
      <c r="E32" t="s">
        <v>30</v>
      </c>
      <c r="F32" t="s">
        <v>17</v>
      </c>
      <c r="G32">
        <v>10.3</v>
      </c>
      <c r="H32" t="s">
        <v>31</v>
      </c>
      <c r="I32">
        <v>36.6</v>
      </c>
      <c r="J32">
        <v>7.4</v>
      </c>
      <c r="K32">
        <v>5</v>
      </c>
      <c r="L32" t="s">
        <v>19</v>
      </c>
      <c r="M32" t="str">
        <f t="shared" si="0"/>
        <v>Anemic</v>
      </c>
      <c r="N32" t="str">
        <f t="shared" si="1"/>
        <v>Under 30</v>
      </c>
      <c r="O32" t="str">
        <f t="shared" si="2"/>
        <v>2025-06</v>
      </c>
      <c r="P32" s="9" t="str">
        <f>IF(ClinicData[[#This Row],[Sex]]= "Male", ClinicData[[#This Row],[Hb_g_dL]], "")</f>
        <v/>
      </c>
      <c r="Q32" s="8">
        <f>IF(ClinicData[[#This Row],[Sex]]="Female",ClinicData[[#This Row],[Hb_g_dL]], "")</f>
        <v>10.3</v>
      </c>
    </row>
    <row r="33" spans="1:17" x14ac:dyDescent="0.2">
      <c r="A33">
        <v>1032</v>
      </c>
      <c r="B33" s="2">
        <v>45763</v>
      </c>
      <c r="C33" t="s">
        <v>22</v>
      </c>
      <c r="D33">
        <v>36</v>
      </c>
      <c r="E33" t="s">
        <v>16</v>
      </c>
      <c r="F33" t="s">
        <v>35</v>
      </c>
      <c r="G33">
        <v>12.7</v>
      </c>
      <c r="H33" t="s">
        <v>31</v>
      </c>
      <c r="I33">
        <v>38.1</v>
      </c>
      <c r="J33">
        <v>7.3</v>
      </c>
      <c r="K33">
        <v>1</v>
      </c>
      <c r="L33" t="s">
        <v>19</v>
      </c>
      <c r="M33" t="str">
        <f t="shared" si="0"/>
        <v>Normal</v>
      </c>
      <c r="N33" t="str">
        <f t="shared" si="1"/>
        <v>30 and Above</v>
      </c>
      <c r="O33" t="str">
        <f t="shared" si="2"/>
        <v>2025-04</v>
      </c>
      <c r="P33" s="9">
        <f>IF(ClinicData[[#This Row],[Sex]]= "Male", ClinicData[[#This Row],[Hb_g_dL]], "")</f>
        <v>12.7</v>
      </c>
      <c r="Q33" s="8" t="str">
        <f>IF(ClinicData[[#This Row],[Sex]]="Female",ClinicData[[#This Row],[Hb_g_dL]], "")</f>
        <v/>
      </c>
    </row>
    <row r="34" spans="1:17" x14ac:dyDescent="0.2">
      <c r="A34">
        <v>1033</v>
      </c>
      <c r="B34" s="2">
        <v>45886</v>
      </c>
      <c r="C34" t="s">
        <v>22</v>
      </c>
      <c r="D34">
        <v>26</v>
      </c>
      <c r="E34" t="s">
        <v>28</v>
      </c>
      <c r="F34" t="s">
        <v>24</v>
      </c>
      <c r="G34">
        <v>12.3</v>
      </c>
      <c r="H34" t="s">
        <v>18</v>
      </c>
      <c r="I34">
        <v>37.4</v>
      </c>
      <c r="J34">
        <v>6.3</v>
      </c>
      <c r="K34">
        <v>1</v>
      </c>
      <c r="L34" t="s">
        <v>19</v>
      </c>
      <c r="M34" t="str">
        <f t="shared" si="0"/>
        <v>Normal</v>
      </c>
      <c r="N34" t="str">
        <f t="shared" si="1"/>
        <v>Under 30</v>
      </c>
      <c r="O34" t="str">
        <f t="shared" si="2"/>
        <v>2025-08</v>
      </c>
      <c r="P34" s="9">
        <f>IF(ClinicData[[#This Row],[Sex]]= "Male", ClinicData[[#This Row],[Hb_g_dL]], "")</f>
        <v>12.3</v>
      </c>
      <c r="Q34" s="8" t="str">
        <f>IF(ClinicData[[#This Row],[Sex]]="Female",ClinicData[[#This Row],[Hb_g_dL]], "")</f>
        <v/>
      </c>
    </row>
    <row r="35" spans="1:17" x14ac:dyDescent="0.2">
      <c r="A35">
        <v>1034</v>
      </c>
      <c r="B35" s="2">
        <v>46019</v>
      </c>
      <c r="C35" t="s">
        <v>15</v>
      </c>
      <c r="D35">
        <v>6</v>
      </c>
      <c r="E35" t="s">
        <v>33</v>
      </c>
      <c r="F35" t="s">
        <v>32</v>
      </c>
      <c r="G35">
        <v>7.6</v>
      </c>
      <c r="H35" t="s">
        <v>31</v>
      </c>
      <c r="I35">
        <v>38.5</v>
      </c>
      <c r="J35">
        <v>5.9</v>
      </c>
      <c r="K35">
        <v>5</v>
      </c>
      <c r="L35" t="s">
        <v>19</v>
      </c>
      <c r="M35" t="str">
        <f t="shared" si="0"/>
        <v>Anemic</v>
      </c>
      <c r="N35" t="str">
        <f t="shared" si="1"/>
        <v>Under 30</v>
      </c>
      <c r="O35" t="str">
        <f t="shared" si="2"/>
        <v>2025-12</v>
      </c>
      <c r="P35" s="9" t="str">
        <f>IF(ClinicData[[#This Row],[Sex]]= "Male", ClinicData[[#This Row],[Hb_g_dL]], "")</f>
        <v/>
      </c>
      <c r="Q35" s="8">
        <f>IF(ClinicData[[#This Row],[Sex]]="Female",ClinicData[[#This Row],[Hb_g_dL]], "")</f>
        <v>7.6</v>
      </c>
    </row>
    <row r="36" spans="1:17" x14ac:dyDescent="0.2">
      <c r="A36">
        <v>1035</v>
      </c>
      <c r="B36" s="2">
        <v>45917</v>
      </c>
      <c r="C36" t="s">
        <v>15</v>
      </c>
      <c r="D36">
        <v>29</v>
      </c>
      <c r="E36" t="s">
        <v>28</v>
      </c>
      <c r="F36" t="s">
        <v>26</v>
      </c>
      <c r="G36">
        <v>13.1</v>
      </c>
      <c r="H36" t="s">
        <v>31</v>
      </c>
      <c r="I36">
        <v>39.6</v>
      </c>
      <c r="J36">
        <v>6.1</v>
      </c>
      <c r="K36">
        <v>2</v>
      </c>
      <c r="L36" t="s">
        <v>19</v>
      </c>
      <c r="M36" t="str">
        <f t="shared" si="0"/>
        <v>Normal</v>
      </c>
      <c r="N36" t="str">
        <f t="shared" si="1"/>
        <v>Under 30</v>
      </c>
      <c r="O36" t="str">
        <f t="shared" si="2"/>
        <v>2025-09</v>
      </c>
      <c r="P36" s="9" t="str">
        <f>IF(ClinicData[[#This Row],[Sex]]= "Male", ClinicData[[#This Row],[Hb_g_dL]], "")</f>
        <v/>
      </c>
      <c r="Q36" s="8">
        <f>IF(ClinicData[[#This Row],[Sex]]="Female",ClinicData[[#This Row],[Hb_g_dL]], "")</f>
        <v>13.1</v>
      </c>
    </row>
    <row r="37" spans="1:17" x14ac:dyDescent="0.2">
      <c r="A37">
        <v>1036</v>
      </c>
      <c r="B37" s="2">
        <v>45675</v>
      </c>
      <c r="C37" t="s">
        <v>15</v>
      </c>
      <c r="D37">
        <v>28</v>
      </c>
      <c r="E37" t="s">
        <v>28</v>
      </c>
      <c r="F37" t="s">
        <v>24</v>
      </c>
      <c r="G37">
        <v>12.5</v>
      </c>
      <c r="H37" t="s">
        <v>18</v>
      </c>
      <c r="I37">
        <v>37.200000000000003</v>
      </c>
      <c r="J37">
        <v>11.2</v>
      </c>
      <c r="K37">
        <v>0</v>
      </c>
      <c r="L37" t="s">
        <v>19</v>
      </c>
      <c r="M37" t="str">
        <f t="shared" si="0"/>
        <v>Normal</v>
      </c>
      <c r="N37" t="str">
        <f t="shared" si="1"/>
        <v>Under 30</v>
      </c>
      <c r="O37" t="str">
        <f t="shared" si="2"/>
        <v>2025-01</v>
      </c>
      <c r="P37" s="9" t="str">
        <f>IF(ClinicData[[#This Row],[Sex]]= "Male", ClinicData[[#This Row],[Hb_g_dL]], "")</f>
        <v/>
      </c>
      <c r="Q37" s="8">
        <f>IF(ClinicData[[#This Row],[Sex]]="Female",ClinicData[[#This Row],[Hb_g_dL]], "")</f>
        <v>12.5</v>
      </c>
    </row>
    <row r="38" spans="1:17" x14ac:dyDescent="0.2">
      <c r="A38">
        <v>1037</v>
      </c>
      <c r="B38" s="2">
        <v>46076</v>
      </c>
      <c r="C38" t="s">
        <v>22</v>
      </c>
      <c r="D38">
        <v>31</v>
      </c>
      <c r="E38" t="s">
        <v>28</v>
      </c>
      <c r="F38" t="s">
        <v>20</v>
      </c>
      <c r="G38">
        <v>13.8</v>
      </c>
      <c r="H38" t="s">
        <v>18</v>
      </c>
      <c r="I38">
        <v>36</v>
      </c>
      <c r="J38">
        <v>6.8</v>
      </c>
      <c r="K38">
        <v>2</v>
      </c>
      <c r="L38" t="s">
        <v>27</v>
      </c>
      <c r="M38" t="str">
        <f t="shared" si="0"/>
        <v>Normal</v>
      </c>
      <c r="N38" t="str">
        <f t="shared" si="1"/>
        <v>30 and Above</v>
      </c>
      <c r="O38" t="str">
        <f t="shared" si="2"/>
        <v>2026-02</v>
      </c>
      <c r="P38" s="9">
        <f>IF(ClinicData[[#This Row],[Sex]]= "Male", ClinicData[[#This Row],[Hb_g_dL]], "")</f>
        <v>13.8</v>
      </c>
      <c r="Q38" s="8" t="str">
        <f>IF(ClinicData[[#This Row],[Sex]]="Female",ClinicData[[#This Row],[Hb_g_dL]], "")</f>
        <v/>
      </c>
    </row>
    <row r="39" spans="1:17" x14ac:dyDescent="0.2">
      <c r="A39">
        <v>1038</v>
      </c>
      <c r="B39" s="2">
        <v>46059</v>
      </c>
      <c r="C39" t="s">
        <v>15</v>
      </c>
      <c r="D39">
        <v>16</v>
      </c>
      <c r="E39" t="s">
        <v>16</v>
      </c>
      <c r="F39" t="s">
        <v>29</v>
      </c>
      <c r="G39">
        <v>14.1</v>
      </c>
      <c r="H39" t="s">
        <v>18</v>
      </c>
      <c r="I39">
        <v>37.6</v>
      </c>
      <c r="J39">
        <v>3.5</v>
      </c>
      <c r="K39">
        <v>2</v>
      </c>
      <c r="L39" t="s">
        <v>19</v>
      </c>
      <c r="M39" t="str">
        <f t="shared" si="0"/>
        <v>Normal</v>
      </c>
      <c r="N39" t="str">
        <f t="shared" si="1"/>
        <v>Under 30</v>
      </c>
      <c r="O39" t="str">
        <f t="shared" si="2"/>
        <v>2026-02</v>
      </c>
      <c r="P39" s="9" t="str">
        <f>IF(ClinicData[[#This Row],[Sex]]= "Male", ClinicData[[#This Row],[Hb_g_dL]], "")</f>
        <v/>
      </c>
      <c r="Q39" s="8">
        <f>IF(ClinicData[[#This Row],[Sex]]="Female",ClinicData[[#This Row],[Hb_g_dL]], "")</f>
        <v>14.1</v>
      </c>
    </row>
    <row r="40" spans="1:17" x14ac:dyDescent="0.2">
      <c r="A40">
        <v>1039</v>
      </c>
      <c r="B40" s="2">
        <v>46016</v>
      </c>
      <c r="C40" t="s">
        <v>15</v>
      </c>
      <c r="D40">
        <v>9</v>
      </c>
      <c r="E40" t="s">
        <v>25</v>
      </c>
      <c r="F40" t="s">
        <v>24</v>
      </c>
      <c r="G40">
        <v>14.7</v>
      </c>
      <c r="H40" t="s">
        <v>18</v>
      </c>
      <c r="I40">
        <v>37.1</v>
      </c>
      <c r="J40">
        <v>9.6999999999999993</v>
      </c>
      <c r="K40">
        <v>4</v>
      </c>
      <c r="L40" t="s">
        <v>19</v>
      </c>
      <c r="M40" t="str">
        <f t="shared" si="0"/>
        <v>Normal</v>
      </c>
      <c r="N40" t="str">
        <f t="shared" si="1"/>
        <v>Under 30</v>
      </c>
      <c r="O40" t="str">
        <f t="shared" si="2"/>
        <v>2025-12</v>
      </c>
      <c r="P40" s="9" t="str">
        <f>IF(ClinicData[[#This Row],[Sex]]= "Male", ClinicData[[#This Row],[Hb_g_dL]], "")</f>
        <v/>
      </c>
      <c r="Q40" s="8">
        <f>IF(ClinicData[[#This Row],[Sex]]="Female",ClinicData[[#This Row],[Hb_g_dL]], "")</f>
        <v>14.7</v>
      </c>
    </row>
    <row r="41" spans="1:17" x14ac:dyDescent="0.2">
      <c r="A41">
        <v>1040</v>
      </c>
      <c r="B41" s="2">
        <v>45984</v>
      </c>
      <c r="C41" t="s">
        <v>22</v>
      </c>
      <c r="D41">
        <v>14</v>
      </c>
      <c r="E41" t="s">
        <v>28</v>
      </c>
      <c r="F41" t="s">
        <v>26</v>
      </c>
      <c r="G41">
        <v>10.7</v>
      </c>
      <c r="H41" t="s">
        <v>31</v>
      </c>
      <c r="I41">
        <v>38</v>
      </c>
      <c r="J41">
        <v>9.1999999999999993</v>
      </c>
      <c r="K41">
        <v>1</v>
      </c>
      <c r="L41" t="s">
        <v>21</v>
      </c>
      <c r="M41" t="str">
        <f t="shared" si="0"/>
        <v>Anemic</v>
      </c>
      <c r="N41" t="str">
        <f t="shared" si="1"/>
        <v>Under 30</v>
      </c>
      <c r="O41" t="str">
        <f t="shared" si="2"/>
        <v>2025-11</v>
      </c>
      <c r="P41" s="9">
        <f>IF(ClinicData[[#This Row],[Sex]]= "Male", ClinicData[[#This Row],[Hb_g_dL]], "")</f>
        <v>10.7</v>
      </c>
      <c r="Q41" s="8" t="str">
        <f>IF(ClinicData[[#This Row],[Sex]]="Female",ClinicData[[#This Row],[Hb_g_dL]], "")</f>
        <v/>
      </c>
    </row>
    <row r="42" spans="1:17" x14ac:dyDescent="0.2">
      <c r="A42">
        <v>1041</v>
      </c>
      <c r="B42" s="2">
        <v>46041</v>
      </c>
      <c r="C42" t="s">
        <v>15</v>
      </c>
      <c r="D42">
        <v>41</v>
      </c>
      <c r="E42" t="s">
        <v>25</v>
      </c>
      <c r="F42" t="s">
        <v>24</v>
      </c>
      <c r="G42">
        <v>13.4</v>
      </c>
      <c r="H42" t="s">
        <v>18</v>
      </c>
      <c r="I42">
        <v>37.200000000000003</v>
      </c>
      <c r="J42">
        <v>7.4</v>
      </c>
      <c r="K42">
        <v>4</v>
      </c>
      <c r="L42" t="s">
        <v>21</v>
      </c>
      <c r="M42" t="str">
        <f t="shared" si="0"/>
        <v>Normal</v>
      </c>
      <c r="N42" t="str">
        <f t="shared" si="1"/>
        <v>30 and Above</v>
      </c>
      <c r="O42" t="str">
        <f t="shared" si="2"/>
        <v>2026-01</v>
      </c>
      <c r="P42" s="9" t="str">
        <f>IF(ClinicData[[#This Row],[Sex]]= "Male", ClinicData[[#This Row],[Hb_g_dL]], "")</f>
        <v/>
      </c>
      <c r="Q42" s="8">
        <f>IF(ClinicData[[#This Row],[Sex]]="Female",ClinicData[[#This Row],[Hb_g_dL]], "")</f>
        <v>13.4</v>
      </c>
    </row>
    <row r="43" spans="1:17" x14ac:dyDescent="0.2">
      <c r="A43">
        <v>1042</v>
      </c>
      <c r="B43" s="2">
        <v>45893</v>
      </c>
      <c r="C43" t="s">
        <v>22</v>
      </c>
      <c r="D43">
        <v>16</v>
      </c>
      <c r="E43" t="s">
        <v>25</v>
      </c>
      <c r="F43" t="s">
        <v>17</v>
      </c>
      <c r="G43">
        <v>14</v>
      </c>
      <c r="H43" t="s">
        <v>18</v>
      </c>
      <c r="I43">
        <v>37.299999999999997</v>
      </c>
      <c r="J43">
        <v>8.1</v>
      </c>
      <c r="K43">
        <v>5</v>
      </c>
      <c r="L43" t="s">
        <v>21</v>
      </c>
      <c r="M43" t="str">
        <f t="shared" si="0"/>
        <v>Normal</v>
      </c>
      <c r="N43" t="str">
        <f t="shared" si="1"/>
        <v>Under 30</v>
      </c>
      <c r="O43" t="str">
        <f t="shared" si="2"/>
        <v>2025-08</v>
      </c>
      <c r="P43" s="9">
        <f>IF(ClinicData[[#This Row],[Sex]]= "Male", ClinicData[[#This Row],[Hb_g_dL]], "")</f>
        <v>14</v>
      </c>
      <c r="Q43" s="8" t="str">
        <f>IF(ClinicData[[#This Row],[Sex]]="Female",ClinicData[[#This Row],[Hb_g_dL]], "")</f>
        <v/>
      </c>
    </row>
    <row r="44" spans="1:17" x14ac:dyDescent="0.2">
      <c r="A44">
        <v>1043</v>
      </c>
      <c r="B44" s="2">
        <v>45976</v>
      </c>
      <c r="C44" t="s">
        <v>15</v>
      </c>
      <c r="D44">
        <v>1</v>
      </c>
      <c r="E44" t="s">
        <v>23</v>
      </c>
      <c r="F44" t="s">
        <v>36</v>
      </c>
      <c r="G44">
        <v>11.8</v>
      </c>
      <c r="H44" t="s">
        <v>31</v>
      </c>
      <c r="I44">
        <v>38.700000000000003</v>
      </c>
      <c r="J44">
        <v>7</v>
      </c>
      <c r="K44">
        <v>2</v>
      </c>
      <c r="L44" t="s">
        <v>19</v>
      </c>
      <c r="M44" t="str">
        <f t="shared" si="0"/>
        <v>Anemic</v>
      </c>
      <c r="N44" t="str">
        <f t="shared" si="1"/>
        <v>Under 30</v>
      </c>
      <c r="O44" t="str">
        <f t="shared" si="2"/>
        <v>2025-11</v>
      </c>
      <c r="P44" s="9" t="str">
        <f>IF(ClinicData[[#This Row],[Sex]]= "Male", ClinicData[[#This Row],[Hb_g_dL]], "")</f>
        <v/>
      </c>
      <c r="Q44" s="8">
        <f>IF(ClinicData[[#This Row],[Sex]]="Female",ClinicData[[#This Row],[Hb_g_dL]], "")</f>
        <v>11.8</v>
      </c>
    </row>
    <row r="45" spans="1:17" x14ac:dyDescent="0.2">
      <c r="A45">
        <v>1044</v>
      </c>
      <c r="B45" s="2">
        <v>45817</v>
      </c>
      <c r="C45" t="s">
        <v>15</v>
      </c>
      <c r="D45">
        <v>42</v>
      </c>
      <c r="E45" t="s">
        <v>16</v>
      </c>
      <c r="F45" t="s">
        <v>35</v>
      </c>
      <c r="G45">
        <v>14</v>
      </c>
      <c r="H45" t="s">
        <v>18</v>
      </c>
      <c r="I45">
        <v>36.9</v>
      </c>
      <c r="J45">
        <v>8.5</v>
      </c>
      <c r="K45">
        <v>0</v>
      </c>
      <c r="L45" t="s">
        <v>19</v>
      </c>
      <c r="M45" t="str">
        <f t="shared" si="0"/>
        <v>Normal</v>
      </c>
      <c r="N45" t="str">
        <f t="shared" si="1"/>
        <v>30 and Above</v>
      </c>
      <c r="O45" t="str">
        <f t="shared" si="2"/>
        <v>2025-06</v>
      </c>
      <c r="P45" s="9" t="str">
        <f>IF(ClinicData[[#This Row],[Sex]]= "Male", ClinicData[[#This Row],[Hb_g_dL]], "")</f>
        <v/>
      </c>
      <c r="Q45" s="8">
        <f>IF(ClinicData[[#This Row],[Sex]]="Female",ClinicData[[#This Row],[Hb_g_dL]], "")</f>
        <v>14</v>
      </c>
    </row>
    <row r="46" spans="1:17" x14ac:dyDescent="0.2">
      <c r="A46">
        <v>1045</v>
      </c>
      <c r="B46" s="2">
        <v>45704</v>
      </c>
      <c r="C46" t="s">
        <v>22</v>
      </c>
      <c r="D46">
        <v>37</v>
      </c>
      <c r="E46" t="s">
        <v>33</v>
      </c>
      <c r="F46" t="s">
        <v>26</v>
      </c>
      <c r="G46">
        <v>10.6</v>
      </c>
      <c r="H46" t="s">
        <v>18</v>
      </c>
      <c r="I46">
        <v>36.9</v>
      </c>
      <c r="J46">
        <v>7</v>
      </c>
      <c r="K46">
        <v>15</v>
      </c>
      <c r="L46" t="s">
        <v>19</v>
      </c>
      <c r="M46" t="str">
        <f t="shared" si="0"/>
        <v>Anemic</v>
      </c>
      <c r="N46" t="str">
        <f t="shared" si="1"/>
        <v>30 and Above</v>
      </c>
      <c r="O46" t="str">
        <f t="shared" si="2"/>
        <v>2025-02</v>
      </c>
      <c r="P46" s="9">
        <f>IF(ClinicData[[#This Row],[Sex]]= "Male", ClinicData[[#This Row],[Hb_g_dL]], "")</f>
        <v>10.6</v>
      </c>
      <c r="Q46" s="8" t="str">
        <f>IF(ClinicData[[#This Row],[Sex]]="Female",ClinicData[[#This Row],[Hb_g_dL]], "")</f>
        <v/>
      </c>
    </row>
    <row r="47" spans="1:17" x14ac:dyDescent="0.2">
      <c r="A47">
        <v>1046</v>
      </c>
      <c r="B47" s="2">
        <v>45909</v>
      </c>
      <c r="C47" t="s">
        <v>15</v>
      </c>
      <c r="D47">
        <v>20</v>
      </c>
      <c r="E47" t="s">
        <v>25</v>
      </c>
      <c r="F47" t="s">
        <v>35</v>
      </c>
      <c r="G47">
        <v>13.4</v>
      </c>
      <c r="H47" t="s">
        <v>18</v>
      </c>
      <c r="I47">
        <v>37.4</v>
      </c>
      <c r="J47">
        <v>7.8</v>
      </c>
      <c r="K47">
        <v>7</v>
      </c>
      <c r="L47" t="s">
        <v>27</v>
      </c>
      <c r="M47" t="str">
        <f t="shared" si="0"/>
        <v>Normal</v>
      </c>
      <c r="N47" t="str">
        <f t="shared" si="1"/>
        <v>Under 30</v>
      </c>
      <c r="O47" t="str">
        <f t="shared" si="2"/>
        <v>2025-09</v>
      </c>
      <c r="P47" s="9" t="str">
        <f>IF(ClinicData[[#This Row],[Sex]]= "Male", ClinicData[[#This Row],[Hb_g_dL]], "")</f>
        <v/>
      </c>
      <c r="Q47" s="8">
        <f>IF(ClinicData[[#This Row],[Sex]]="Female",ClinicData[[#This Row],[Hb_g_dL]], "")</f>
        <v>13.4</v>
      </c>
    </row>
    <row r="48" spans="1:17" x14ac:dyDescent="0.2">
      <c r="A48">
        <v>1047</v>
      </c>
      <c r="B48" s="2">
        <v>46023</v>
      </c>
      <c r="C48" t="s">
        <v>22</v>
      </c>
      <c r="D48">
        <v>38</v>
      </c>
      <c r="E48" t="s">
        <v>16</v>
      </c>
      <c r="F48" t="s">
        <v>26</v>
      </c>
      <c r="G48">
        <v>14.1</v>
      </c>
      <c r="H48" t="s">
        <v>18</v>
      </c>
      <c r="I48">
        <v>36.799999999999997</v>
      </c>
      <c r="J48">
        <v>10.8</v>
      </c>
      <c r="K48">
        <v>0</v>
      </c>
      <c r="L48" t="s">
        <v>19</v>
      </c>
      <c r="M48" t="str">
        <f t="shared" si="0"/>
        <v>Normal</v>
      </c>
      <c r="N48" t="str">
        <f t="shared" si="1"/>
        <v>30 and Above</v>
      </c>
      <c r="O48" t="str">
        <f t="shared" si="2"/>
        <v>2026-01</v>
      </c>
      <c r="P48" s="9">
        <f>IF(ClinicData[[#This Row],[Sex]]= "Male", ClinicData[[#This Row],[Hb_g_dL]], "")</f>
        <v>14.1</v>
      </c>
      <c r="Q48" s="8" t="str">
        <f>IF(ClinicData[[#This Row],[Sex]]="Female",ClinicData[[#This Row],[Hb_g_dL]], "")</f>
        <v/>
      </c>
    </row>
    <row r="49" spans="1:17" x14ac:dyDescent="0.2">
      <c r="A49">
        <v>1048</v>
      </c>
      <c r="B49" s="2">
        <v>45684</v>
      </c>
      <c r="C49" t="s">
        <v>15</v>
      </c>
      <c r="D49">
        <v>19</v>
      </c>
      <c r="E49" t="s">
        <v>30</v>
      </c>
      <c r="F49" t="s">
        <v>20</v>
      </c>
      <c r="G49">
        <v>11.4</v>
      </c>
      <c r="H49" t="s">
        <v>18</v>
      </c>
      <c r="I49">
        <v>37</v>
      </c>
      <c r="J49">
        <v>3.7</v>
      </c>
      <c r="K49">
        <v>1</v>
      </c>
      <c r="L49" t="s">
        <v>21</v>
      </c>
      <c r="M49" t="str">
        <f t="shared" si="0"/>
        <v>Anemic</v>
      </c>
      <c r="N49" t="str">
        <f t="shared" si="1"/>
        <v>Under 30</v>
      </c>
      <c r="O49" t="str">
        <f t="shared" si="2"/>
        <v>2025-01</v>
      </c>
      <c r="P49" s="9" t="str">
        <f>IF(ClinicData[[#This Row],[Sex]]= "Male", ClinicData[[#This Row],[Hb_g_dL]], "")</f>
        <v/>
      </c>
      <c r="Q49" s="8">
        <f>IF(ClinicData[[#This Row],[Sex]]="Female",ClinicData[[#This Row],[Hb_g_dL]], "")</f>
        <v>11.4</v>
      </c>
    </row>
    <row r="50" spans="1:17" x14ac:dyDescent="0.2">
      <c r="A50">
        <v>1049</v>
      </c>
      <c r="B50" s="2">
        <v>45941</v>
      </c>
      <c r="C50" t="s">
        <v>15</v>
      </c>
      <c r="D50">
        <v>50</v>
      </c>
      <c r="E50" t="s">
        <v>16</v>
      </c>
      <c r="F50" t="s">
        <v>29</v>
      </c>
      <c r="G50">
        <v>9.6</v>
      </c>
      <c r="H50" t="s">
        <v>18</v>
      </c>
      <c r="I50">
        <v>36.1</v>
      </c>
      <c r="J50">
        <v>12.3</v>
      </c>
      <c r="K50">
        <v>0</v>
      </c>
      <c r="L50" t="s">
        <v>19</v>
      </c>
      <c r="M50" t="str">
        <f t="shared" si="0"/>
        <v>Anemic</v>
      </c>
      <c r="N50" t="str">
        <f t="shared" si="1"/>
        <v>30 and Above</v>
      </c>
      <c r="O50" t="str">
        <f t="shared" si="2"/>
        <v>2025-10</v>
      </c>
      <c r="P50" s="9" t="str">
        <f>IF(ClinicData[[#This Row],[Sex]]= "Male", ClinicData[[#This Row],[Hb_g_dL]], "")</f>
        <v/>
      </c>
      <c r="Q50" s="8">
        <f>IF(ClinicData[[#This Row],[Sex]]="Female",ClinicData[[#This Row],[Hb_g_dL]], "")</f>
        <v>9.6</v>
      </c>
    </row>
    <row r="51" spans="1:17" x14ac:dyDescent="0.2">
      <c r="A51">
        <v>1050</v>
      </c>
      <c r="B51" s="2">
        <v>45870</v>
      </c>
      <c r="C51" t="s">
        <v>22</v>
      </c>
      <c r="D51">
        <v>37</v>
      </c>
      <c r="E51" t="s">
        <v>25</v>
      </c>
      <c r="F51" t="s">
        <v>36</v>
      </c>
      <c r="G51">
        <v>13</v>
      </c>
      <c r="H51" t="s">
        <v>18</v>
      </c>
      <c r="I51">
        <v>36.6</v>
      </c>
      <c r="J51">
        <v>5.4</v>
      </c>
      <c r="K51">
        <v>3</v>
      </c>
      <c r="L51" t="s">
        <v>19</v>
      </c>
      <c r="M51" t="str">
        <f t="shared" si="0"/>
        <v>Normal</v>
      </c>
      <c r="N51" t="str">
        <f t="shared" si="1"/>
        <v>30 and Above</v>
      </c>
      <c r="O51" t="str">
        <f t="shared" si="2"/>
        <v>2025-08</v>
      </c>
      <c r="P51" s="9">
        <f>IF(ClinicData[[#This Row],[Sex]]= "Male", ClinicData[[#This Row],[Hb_g_dL]], "")</f>
        <v>13</v>
      </c>
      <c r="Q51" s="8" t="str">
        <f>IF(ClinicData[[#This Row],[Sex]]="Female",ClinicData[[#This Row],[Hb_g_dL]], "")</f>
        <v/>
      </c>
    </row>
    <row r="52" spans="1:17" x14ac:dyDescent="0.2">
      <c r="A52">
        <v>1051</v>
      </c>
      <c r="B52" s="2">
        <v>45914</v>
      </c>
      <c r="C52" t="s">
        <v>15</v>
      </c>
      <c r="D52">
        <v>24</v>
      </c>
      <c r="E52" t="s">
        <v>16</v>
      </c>
      <c r="F52" t="s">
        <v>36</v>
      </c>
      <c r="G52">
        <v>11.6</v>
      </c>
      <c r="H52" t="s">
        <v>18</v>
      </c>
      <c r="I52">
        <v>37.1</v>
      </c>
      <c r="J52">
        <v>7.8</v>
      </c>
      <c r="K52">
        <v>1</v>
      </c>
      <c r="L52" t="s">
        <v>21</v>
      </c>
      <c r="M52" t="str">
        <f t="shared" si="0"/>
        <v>Anemic</v>
      </c>
      <c r="N52" t="str">
        <f t="shared" si="1"/>
        <v>Under 30</v>
      </c>
      <c r="O52" t="str">
        <f t="shared" si="2"/>
        <v>2025-09</v>
      </c>
      <c r="P52" s="9" t="str">
        <f>IF(ClinicData[[#This Row],[Sex]]= "Male", ClinicData[[#This Row],[Hb_g_dL]], "")</f>
        <v/>
      </c>
      <c r="Q52" s="8">
        <f>IF(ClinicData[[#This Row],[Sex]]="Female",ClinicData[[#This Row],[Hb_g_dL]], "")</f>
        <v>11.6</v>
      </c>
    </row>
    <row r="53" spans="1:17" x14ac:dyDescent="0.2">
      <c r="A53">
        <v>1052</v>
      </c>
      <c r="B53" s="2">
        <v>45821</v>
      </c>
      <c r="C53" t="s">
        <v>22</v>
      </c>
      <c r="D53">
        <v>33</v>
      </c>
      <c r="E53" t="s">
        <v>23</v>
      </c>
      <c r="F53" t="s">
        <v>32</v>
      </c>
      <c r="G53">
        <v>12.4</v>
      </c>
      <c r="H53" t="s">
        <v>18</v>
      </c>
      <c r="I53">
        <v>37.299999999999997</v>
      </c>
      <c r="J53">
        <v>5.4</v>
      </c>
      <c r="K53">
        <v>6</v>
      </c>
      <c r="L53" t="s">
        <v>19</v>
      </c>
      <c r="M53" t="str">
        <f t="shared" si="0"/>
        <v>Normal</v>
      </c>
      <c r="N53" t="str">
        <f t="shared" si="1"/>
        <v>30 and Above</v>
      </c>
      <c r="O53" t="str">
        <f t="shared" si="2"/>
        <v>2025-06</v>
      </c>
      <c r="P53" s="9">
        <f>IF(ClinicData[[#This Row],[Sex]]= "Male", ClinicData[[#This Row],[Hb_g_dL]], "")</f>
        <v>12.4</v>
      </c>
      <c r="Q53" s="8" t="str">
        <f>IF(ClinicData[[#This Row],[Sex]]="Female",ClinicData[[#This Row],[Hb_g_dL]], "")</f>
        <v/>
      </c>
    </row>
    <row r="54" spans="1:17" x14ac:dyDescent="0.2">
      <c r="A54">
        <v>1053</v>
      </c>
      <c r="B54" s="2">
        <v>45952</v>
      </c>
      <c r="C54" t="s">
        <v>15</v>
      </c>
      <c r="D54">
        <v>9</v>
      </c>
      <c r="E54" t="s">
        <v>23</v>
      </c>
      <c r="F54" t="s">
        <v>32</v>
      </c>
      <c r="G54">
        <v>12.2</v>
      </c>
      <c r="H54" t="s">
        <v>18</v>
      </c>
      <c r="I54">
        <v>38.1</v>
      </c>
      <c r="J54">
        <v>10.1</v>
      </c>
      <c r="K54">
        <v>7</v>
      </c>
      <c r="L54" t="s">
        <v>19</v>
      </c>
      <c r="M54" t="str">
        <f t="shared" si="0"/>
        <v>Normal</v>
      </c>
      <c r="N54" t="str">
        <f t="shared" si="1"/>
        <v>Under 30</v>
      </c>
      <c r="O54" t="str">
        <f t="shared" si="2"/>
        <v>2025-10</v>
      </c>
      <c r="P54" s="9" t="str">
        <f>IF(ClinicData[[#This Row],[Sex]]= "Male", ClinicData[[#This Row],[Hb_g_dL]], "")</f>
        <v/>
      </c>
      <c r="Q54" s="8">
        <f>IF(ClinicData[[#This Row],[Sex]]="Female",ClinicData[[#This Row],[Hb_g_dL]], "")</f>
        <v>12.2</v>
      </c>
    </row>
    <row r="55" spans="1:17" x14ac:dyDescent="0.2">
      <c r="A55">
        <v>1054</v>
      </c>
      <c r="B55" s="2">
        <v>45817</v>
      </c>
      <c r="C55" t="s">
        <v>15</v>
      </c>
      <c r="D55">
        <v>32</v>
      </c>
      <c r="E55" t="s">
        <v>25</v>
      </c>
      <c r="F55" t="s">
        <v>32</v>
      </c>
      <c r="G55">
        <v>12.5</v>
      </c>
      <c r="H55" t="s">
        <v>18</v>
      </c>
      <c r="I55">
        <v>37</v>
      </c>
      <c r="J55">
        <v>7.5</v>
      </c>
      <c r="K55">
        <v>7</v>
      </c>
      <c r="L55" t="s">
        <v>27</v>
      </c>
      <c r="M55" t="str">
        <f t="shared" si="0"/>
        <v>Normal</v>
      </c>
      <c r="N55" t="str">
        <f t="shared" si="1"/>
        <v>30 and Above</v>
      </c>
      <c r="O55" t="str">
        <f t="shared" si="2"/>
        <v>2025-06</v>
      </c>
      <c r="P55" s="9" t="str">
        <f>IF(ClinicData[[#This Row],[Sex]]= "Male", ClinicData[[#This Row],[Hb_g_dL]], "")</f>
        <v/>
      </c>
      <c r="Q55" s="8">
        <f>IF(ClinicData[[#This Row],[Sex]]="Female",ClinicData[[#This Row],[Hb_g_dL]], "")</f>
        <v>12.5</v>
      </c>
    </row>
    <row r="56" spans="1:17" x14ac:dyDescent="0.2">
      <c r="A56">
        <v>1055</v>
      </c>
      <c r="B56" s="2">
        <v>45928</v>
      </c>
      <c r="C56" t="s">
        <v>15</v>
      </c>
      <c r="D56">
        <v>29</v>
      </c>
      <c r="E56" t="s">
        <v>16</v>
      </c>
      <c r="F56" t="s">
        <v>24</v>
      </c>
      <c r="G56">
        <v>13.1</v>
      </c>
      <c r="H56" t="s">
        <v>18</v>
      </c>
      <c r="I56">
        <v>37.9</v>
      </c>
      <c r="J56">
        <v>7.4</v>
      </c>
      <c r="K56">
        <v>2</v>
      </c>
      <c r="L56" t="s">
        <v>21</v>
      </c>
      <c r="M56" t="str">
        <f t="shared" si="0"/>
        <v>Normal</v>
      </c>
      <c r="N56" t="str">
        <f t="shared" si="1"/>
        <v>Under 30</v>
      </c>
      <c r="O56" t="str">
        <f t="shared" si="2"/>
        <v>2025-09</v>
      </c>
      <c r="P56" s="9" t="str">
        <f>IF(ClinicData[[#This Row],[Sex]]= "Male", ClinicData[[#This Row],[Hb_g_dL]], "")</f>
        <v/>
      </c>
      <c r="Q56" s="8">
        <f>IF(ClinicData[[#This Row],[Sex]]="Female",ClinicData[[#This Row],[Hb_g_dL]], "")</f>
        <v>13.1</v>
      </c>
    </row>
    <row r="57" spans="1:17" x14ac:dyDescent="0.2">
      <c r="A57">
        <v>1056</v>
      </c>
      <c r="B57" s="2">
        <v>45892</v>
      </c>
      <c r="C57" t="s">
        <v>22</v>
      </c>
      <c r="D57">
        <v>35</v>
      </c>
      <c r="E57" t="s">
        <v>23</v>
      </c>
      <c r="F57" t="s">
        <v>26</v>
      </c>
      <c r="G57">
        <v>13.7</v>
      </c>
      <c r="H57" t="s">
        <v>18</v>
      </c>
      <c r="I57">
        <v>37.799999999999997</v>
      </c>
      <c r="J57">
        <v>6.8</v>
      </c>
      <c r="K57">
        <v>9</v>
      </c>
      <c r="L57" t="s">
        <v>21</v>
      </c>
      <c r="M57" t="str">
        <f t="shared" si="0"/>
        <v>Normal</v>
      </c>
      <c r="N57" t="str">
        <f t="shared" si="1"/>
        <v>30 and Above</v>
      </c>
      <c r="O57" t="str">
        <f t="shared" si="2"/>
        <v>2025-08</v>
      </c>
      <c r="P57" s="9">
        <f>IF(ClinicData[[#This Row],[Sex]]= "Male", ClinicData[[#This Row],[Hb_g_dL]], "")</f>
        <v>13.7</v>
      </c>
      <c r="Q57" s="8" t="str">
        <f>IF(ClinicData[[#This Row],[Sex]]="Female",ClinicData[[#This Row],[Hb_g_dL]], "")</f>
        <v/>
      </c>
    </row>
    <row r="58" spans="1:17" x14ac:dyDescent="0.2">
      <c r="A58">
        <v>1057</v>
      </c>
      <c r="B58" s="2">
        <v>45715</v>
      </c>
      <c r="C58" t="s">
        <v>22</v>
      </c>
      <c r="D58">
        <v>36</v>
      </c>
      <c r="E58" t="s">
        <v>16</v>
      </c>
      <c r="F58" t="s">
        <v>32</v>
      </c>
      <c r="G58">
        <v>12.6</v>
      </c>
      <c r="H58" t="s">
        <v>31</v>
      </c>
      <c r="I58">
        <v>38.5</v>
      </c>
      <c r="J58">
        <v>7.5</v>
      </c>
      <c r="K58">
        <v>1</v>
      </c>
      <c r="L58" t="s">
        <v>21</v>
      </c>
      <c r="M58" t="str">
        <f t="shared" si="0"/>
        <v>Normal</v>
      </c>
      <c r="N58" t="str">
        <f t="shared" si="1"/>
        <v>30 and Above</v>
      </c>
      <c r="O58" t="str">
        <f t="shared" si="2"/>
        <v>2025-02</v>
      </c>
      <c r="P58" s="9">
        <f>IF(ClinicData[[#This Row],[Sex]]= "Male", ClinicData[[#This Row],[Hb_g_dL]], "")</f>
        <v>12.6</v>
      </c>
      <c r="Q58" s="8" t="str">
        <f>IF(ClinicData[[#This Row],[Sex]]="Female",ClinicData[[#This Row],[Hb_g_dL]], "")</f>
        <v/>
      </c>
    </row>
    <row r="59" spans="1:17" x14ac:dyDescent="0.2">
      <c r="A59">
        <v>1058</v>
      </c>
      <c r="B59" s="2">
        <v>45782</v>
      </c>
      <c r="C59" t="s">
        <v>22</v>
      </c>
      <c r="D59">
        <v>29</v>
      </c>
      <c r="E59" t="s">
        <v>25</v>
      </c>
      <c r="F59" t="s">
        <v>20</v>
      </c>
      <c r="G59">
        <v>16.8</v>
      </c>
      <c r="H59" t="s">
        <v>31</v>
      </c>
      <c r="I59">
        <v>37.700000000000003</v>
      </c>
      <c r="J59">
        <v>5.5</v>
      </c>
      <c r="K59">
        <v>5</v>
      </c>
      <c r="L59" t="s">
        <v>19</v>
      </c>
      <c r="M59" t="str">
        <f t="shared" si="0"/>
        <v>Normal</v>
      </c>
      <c r="N59" t="str">
        <f t="shared" si="1"/>
        <v>Under 30</v>
      </c>
      <c r="O59" t="str">
        <f t="shared" si="2"/>
        <v>2025-05</v>
      </c>
      <c r="P59" s="9">
        <f>IF(ClinicData[[#This Row],[Sex]]= "Male", ClinicData[[#This Row],[Hb_g_dL]], "")</f>
        <v>16.8</v>
      </c>
      <c r="Q59" s="8" t="str">
        <f>IF(ClinicData[[#This Row],[Sex]]="Female",ClinicData[[#This Row],[Hb_g_dL]], "")</f>
        <v/>
      </c>
    </row>
    <row r="60" spans="1:17" x14ac:dyDescent="0.2">
      <c r="A60">
        <v>1059</v>
      </c>
      <c r="B60" s="2">
        <v>45847</v>
      </c>
      <c r="C60" t="s">
        <v>22</v>
      </c>
      <c r="D60">
        <v>6</v>
      </c>
      <c r="E60" t="s">
        <v>25</v>
      </c>
      <c r="F60" t="s">
        <v>35</v>
      </c>
      <c r="G60">
        <v>14.9</v>
      </c>
      <c r="H60" t="s">
        <v>18</v>
      </c>
      <c r="I60">
        <v>37</v>
      </c>
      <c r="J60">
        <v>9.1999999999999993</v>
      </c>
      <c r="K60">
        <v>8</v>
      </c>
      <c r="L60" t="s">
        <v>19</v>
      </c>
      <c r="M60" t="str">
        <f t="shared" si="0"/>
        <v>Normal</v>
      </c>
      <c r="N60" t="str">
        <f t="shared" si="1"/>
        <v>Under 30</v>
      </c>
      <c r="O60" t="str">
        <f t="shared" si="2"/>
        <v>2025-07</v>
      </c>
      <c r="P60" s="9">
        <f>IF(ClinicData[[#This Row],[Sex]]= "Male", ClinicData[[#This Row],[Hb_g_dL]], "")</f>
        <v>14.9</v>
      </c>
      <c r="Q60" s="8" t="str">
        <f>IF(ClinicData[[#This Row],[Sex]]="Female",ClinicData[[#This Row],[Hb_g_dL]], "")</f>
        <v/>
      </c>
    </row>
    <row r="61" spans="1:17" x14ac:dyDescent="0.2">
      <c r="A61">
        <v>1060</v>
      </c>
      <c r="B61" s="2">
        <v>46077</v>
      </c>
      <c r="C61" t="s">
        <v>22</v>
      </c>
      <c r="D61">
        <v>25</v>
      </c>
      <c r="E61" t="s">
        <v>16</v>
      </c>
      <c r="F61" t="s">
        <v>32</v>
      </c>
      <c r="G61">
        <v>11.1</v>
      </c>
      <c r="H61" t="s">
        <v>31</v>
      </c>
      <c r="I61">
        <v>37.4</v>
      </c>
      <c r="J61">
        <v>2.7</v>
      </c>
      <c r="K61">
        <v>0</v>
      </c>
      <c r="L61" t="s">
        <v>27</v>
      </c>
      <c r="M61" t="str">
        <f t="shared" si="0"/>
        <v>Anemic</v>
      </c>
      <c r="N61" t="str">
        <f t="shared" si="1"/>
        <v>Under 30</v>
      </c>
      <c r="O61" t="str">
        <f t="shared" si="2"/>
        <v>2026-02</v>
      </c>
      <c r="P61" s="9">
        <f>IF(ClinicData[[#This Row],[Sex]]= "Male", ClinicData[[#This Row],[Hb_g_dL]], "")</f>
        <v>11.1</v>
      </c>
      <c r="Q61" s="8" t="str">
        <f>IF(ClinicData[[#This Row],[Sex]]="Female",ClinicData[[#This Row],[Hb_g_dL]], "")</f>
        <v/>
      </c>
    </row>
    <row r="62" spans="1:17" x14ac:dyDescent="0.2">
      <c r="A62">
        <v>1061</v>
      </c>
      <c r="B62" s="2">
        <v>45732</v>
      </c>
      <c r="C62" t="s">
        <v>15</v>
      </c>
      <c r="D62">
        <v>1</v>
      </c>
      <c r="E62" t="s">
        <v>33</v>
      </c>
      <c r="F62" t="s">
        <v>26</v>
      </c>
      <c r="G62">
        <v>12.4</v>
      </c>
      <c r="H62" t="s">
        <v>31</v>
      </c>
      <c r="I62">
        <v>37</v>
      </c>
      <c r="J62">
        <v>10.4</v>
      </c>
      <c r="K62">
        <v>6</v>
      </c>
      <c r="L62" t="s">
        <v>27</v>
      </c>
      <c r="M62" t="str">
        <f t="shared" si="0"/>
        <v>Normal</v>
      </c>
      <c r="N62" t="str">
        <f t="shared" si="1"/>
        <v>Under 30</v>
      </c>
      <c r="O62" t="str">
        <f t="shared" si="2"/>
        <v>2025-03</v>
      </c>
      <c r="P62" s="9" t="str">
        <f>IF(ClinicData[[#This Row],[Sex]]= "Male", ClinicData[[#This Row],[Hb_g_dL]], "")</f>
        <v/>
      </c>
      <c r="Q62" s="8">
        <f>IF(ClinicData[[#This Row],[Sex]]="Female",ClinicData[[#This Row],[Hb_g_dL]], "")</f>
        <v>12.4</v>
      </c>
    </row>
    <row r="63" spans="1:17" x14ac:dyDescent="0.2">
      <c r="A63">
        <v>1062</v>
      </c>
      <c r="B63" s="2">
        <v>45826</v>
      </c>
      <c r="C63" t="s">
        <v>22</v>
      </c>
      <c r="D63">
        <v>16</v>
      </c>
      <c r="E63" t="s">
        <v>28</v>
      </c>
      <c r="F63" t="s">
        <v>29</v>
      </c>
      <c r="G63">
        <v>8.5</v>
      </c>
      <c r="H63" t="s">
        <v>18</v>
      </c>
      <c r="I63">
        <v>36.700000000000003</v>
      </c>
      <c r="J63">
        <v>7.9</v>
      </c>
      <c r="K63">
        <v>0</v>
      </c>
      <c r="L63" t="s">
        <v>19</v>
      </c>
      <c r="M63" t="str">
        <f t="shared" si="0"/>
        <v>Anemic</v>
      </c>
      <c r="N63" t="str">
        <f t="shared" si="1"/>
        <v>Under 30</v>
      </c>
      <c r="O63" t="str">
        <f t="shared" si="2"/>
        <v>2025-06</v>
      </c>
      <c r="P63" s="9">
        <f>IF(ClinicData[[#This Row],[Sex]]= "Male", ClinicData[[#This Row],[Hb_g_dL]], "")</f>
        <v>8.5</v>
      </c>
      <c r="Q63" s="8" t="str">
        <f>IF(ClinicData[[#This Row],[Sex]]="Female",ClinicData[[#This Row],[Hb_g_dL]], "")</f>
        <v/>
      </c>
    </row>
    <row r="64" spans="1:17" x14ac:dyDescent="0.2">
      <c r="A64">
        <v>1063</v>
      </c>
      <c r="B64" s="2">
        <v>45837</v>
      </c>
      <c r="C64" t="s">
        <v>22</v>
      </c>
      <c r="D64">
        <v>16</v>
      </c>
      <c r="E64" t="s">
        <v>28</v>
      </c>
      <c r="F64" t="s">
        <v>29</v>
      </c>
      <c r="G64">
        <v>8</v>
      </c>
      <c r="H64" t="s">
        <v>31</v>
      </c>
      <c r="I64">
        <v>37.9</v>
      </c>
      <c r="J64">
        <v>6.1</v>
      </c>
      <c r="K64">
        <v>2</v>
      </c>
      <c r="L64" t="s">
        <v>27</v>
      </c>
      <c r="M64" t="str">
        <f t="shared" si="0"/>
        <v>Anemic</v>
      </c>
      <c r="N64" t="str">
        <f t="shared" si="1"/>
        <v>Under 30</v>
      </c>
      <c r="O64" t="str">
        <f t="shared" si="2"/>
        <v>2025-06</v>
      </c>
      <c r="P64" s="9">
        <f>IF(ClinicData[[#This Row],[Sex]]= "Male", ClinicData[[#This Row],[Hb_g_dL]], "")</f>
        <v>8</v>
      </c>
      <c r="Q64" s="8" t="str">
        <f>IF(ClinicData[[#This Row],[Sex]]="Female",ClinicData[[#This Row],[Hb_g_dL]], "")</f>
        <v/>
      </c>
    </row>
    <row r="65" spans="1:17" x14ac:dyDescent="0.2">
      <c r="A65">
        <v>1064</v>
      </c>
      <c r="B65" s="2">
        <v>45756</v>
      </c>
      <c r="C65" t="s">
        <v>22</v>
      </c>
      <c r="D65">
        <v>16</v>
      </c>
      <c r="E65" t="s">
        <v>16</v>
      </c>
      <c r="F65" t="s">
        <v>17</v>
      </c>
      <c r="G65">
        <v>14</v>
      </c>
      <c r="H65" t="s">
        <v>18</v>
      </c>
      <c r="I65">
        <v>36.5</v>
      </c>
      <c r="J65">
        <v>9.1999999999999993</v>
      </c>
      <c r="K65">
        <v>0</v>
      </c>
      <c r="L65" t="s">
        <v>19</v>
      </c>
      <c r="M65" t="str">
        <f t="shared" si="0"/>
        <v>Normal</v>
      </c>
      <c r="N65" t="str">
        <f t="shared" si="1"/>
        <v>Under 30</v>
      </c>
      <c r="O65" t="str">
        <f t="shared" si="2"/>
        <v>2025-04</v>
      </c>
      <c r="P65" s="9">
        <f>IF(ClinicData[[#This Row],[Sex]]= "Male", ClinicData[[#This Row],[Hb_g_dL]], "")</f>
        <v>14</v>
      </c>
      <c r="Q65" s="8" t="str">
        <f>IF(ClinicData[[#This Row],[Sex]]="Female",ClinicData[[#This Row],[Hb_g_dL]], "")</f>
        <v/>
      </c>
    </row>
    <row r="66" spans="1:17" x14ac:dyDescent="0.2">
      <c r="A66">
        <v>1065</v>
      </c>
      <c r="B66" s="2">
        <v>46040</v>
      </c>
      <c r="C66" t="s">
        <v>22</v>
      </c>
      <c r="D66">
        <v>21</v>
      </c>
      <c r="E66" t="s">
        <v>33</v>
      </c>
      <c r="F66" t="s">
        <v>26</v>
      </c>
      <c r="G66">
        <v>14.7</v>
      </c>
      <c r="H66" t="s">
        <v>18</v>
      </c>
      <c r="I66">
        <v>36.5</v>
      </c>
      <c r="J66">
        <v>2.9</v>
      </c>
      <c r="K66">
        <v>3</v>
      </c>
      <c r="L66" t="s">
        <v>19</v>
      </c>
      <c r="M66" t="str">
        <f t="shared" ref="M66:M129" si="3">IF(G66&lt;12,"Anemic","Normal")</f>
        <v>Normal</v>
      </c>
      <c r="N66" t="str">
        <f t="shared" ref="N66:N129" si="4">IF(D66&lt;30,"Under 30","30 and Above")</f>
        <v>Under 30</v>
      </c>
      <c r="O66" t="str">
        <f t="shared" ref="O66:O129" si="5">TEXT(B66,"yyyy-mm")</f>
        <v>2026-01</v>
      </c>
      <c r="P66" s="9">
        <f>IF(ClinicData[[#This Row],[Sex]]= "Male", ClinicData[[#This Row],[Hb_g_dL]], "")</f>
        <v>14.7</v>
      </c>
      <c r="Q66" s="8" t="str">
        <f>IF(ClinicData[[#This Row],[Sex]]="Female",ClinicData[[#This Row],[Hb_g_dL]], "")</f>
        <v/>
      </c>
    </row>
    <row r="67" spans="1:17" x14ac:dyDescent="0.2">
      <c r="A67">
        <v>1066</v>
      </c>
      <c r="B67" s="2">
        <v>46070</v>
      </c>
      <c r="C67" t="s">
        <v>15</v>
      </c>
      <c r="D67">
        <v>37</v>
      </c>
      <c r="E67" t="s">
        <v>28</v>
      </c>
      <c r="F67" t="s">
        <v>36</v>
      </c>
      <c r="G67">
        <v>12.6</v>
      </c>
      <c r="H67" t="s">
        <v>18</v>
      </c>
      <c r="I67">
        <v>36.700000000000003</v>
      </c>
      <c r="J67">
        <v>8.6</v>
      </c>
      <c r="K67">
        <v>1</v>
      </c>
      <c r="L67" t="s">
        <v>21</v>
      </c>
      <c r="M67" t="str">
        <f t="shared" si="3"/>
        <v>Normal</v>
      </c>
      <c r="N67" t="str">
        <f t="shared" si="4"/>
        <v>30 and Above</v>
      </c>
      <c r="O67" t="str">
        <f t="shared" si="5"/>
        <v>2026-02</v>
      </c>
      <c r="P67" s="9" t="str">
        <f>IF(ClinicData[[#This Row],[Sex]]= "Male", ClinicData[[#This Row],[Hb_g_dL]], "")</f>
        <v/>
      </c>
      <c r="Q67" s="8">
        <f>IF(ClinicData[[#This Row],[Sex]]="Female",ClinicData[[#This Row],[Hb_g_dL]], "")</f>
        <v>12.6</v>
      </c>
    </row>
    <row r="68" spans="1:17" x14ac:dyDescent="0.2">
      <c r="A68">
        <v>1067</v>
      </c>
      <c r="B68" s="2">
        <v>45725</v>
      </c>
      <c r="C68" t="s">
        <v>15</v>
      </c>
      <c r="D68">
        <v>13</v>
      </c>
      <c r="E68" t="s">
        <v>30</v>
      </c>
      <c r="F68" t="s">
        <v>20</v>
      </c>
      <c r="G68">
        <v>13</v>
      </c>
      <c r="H68" t="s">
        <v>18</v>
      </c>
      <c r="I68">
        <v>37.4</v>
      </c>
      <c r="J68">
        <v>9.1</v>
      </c>
      <c r="K68">
        <v>10</v>
      </c>
      <c r="L68" t="s">
        <v>19</v>
      </c>
      <c r="M68" t="str">
        <f t="shared" si="3"/>
        <v>Normal</v>
      </c>
      <c r="N68" t="str">
        <f t="shared" si="4"/>
        <v>Under 30</v>
      </c>
      <c r="O68" t="str">
        <f t="shared" si="5"/>
        <v>2025-03</v>
      </c>
      <c r="P68" s="9" t="str">
        <f>IF(ClinicData[[#This Row],[Sex]]= "Male", ClinicData[[#This Row],[Hb_g_dL]], "")</f>
        <v/>
      </c>
      <c r="Q68" s="8">
        <f>IF(ClinicData[[#This Row],[Sex]]="Female",ClinicData[[#This Row],[Hb_g_dL]], "")</f>
        <v>13</v>
      </c>
    </row>
    <row r="69" spans="1:17" x14ac:dyDescent="0.2">
      <c r="A69">
        <v>1068</v>
      </c>
      <c r="B69" s="2">
        <v>46043</v>
      </c>
      <c r="C69" t="s">
        <v>22</v>
      </c>
      <c r="D69">
        <v>18</v>
      </c>
      <c r="E69" t="s">
        <v>23</v>
      </c>
      <c r="F69" t="s">
        <v>24</v>
      </c>
      <c r="G69">
        <v>14.5</v>
      </c>
      <c r="H69" t="s">
        <v>18</v>
      </c>
      <c r="I69">
        <v>37.5</v>
      </c>
      <c r="J69">
        <v>9.4</v>
      </c>
      <c r="K69">
        <v>10</v>
      </c>
      <c r="L69" t="s">
        <v>19</v>
      </c>
      <c r="M69" t="str">
        <f t="shared" si="3"/>
        <v>Normal</v>
      </c>
      <c r="N69" t="str">
        <f t="shared" si="4"/>
        <v>Under 30</v>
      </c>
      <c r="O69" t="str">
        <f t="shared" si="5"/>
        <v>2026-01</v>
      </c>
      <c r="P69" s="9">
        <f>IF(ClinicData[[#This Row],[Sex]]= "Male", ClinicData[[#This Row],[Hb_g_dL]], "")</f>
        <v>14.5</v>
      </c>
      <c r="Q69" s="8" t="str">
        <f>IF(ClinicData[[#This Row],[Sex]]="Female",ClinicData[[#This Row],[Hb_g_dL]], "")</f>
        <v/>
      </c>
    </row>
    <row r="70" spans="1:17" x14ac:dyDescent="0.2">
      <c r="A70">
        <v>1069</v>
      </c>
      <c r="B70" s="2">
        <v>45913</v>
      </c>
      <c r="C70" t="s">
        <v>15</v>
      </c>
      <c r="D70">
        <v>31</v>
      </c>
      <c r="E70" t="s">
        <v>16</v>
      </c>
      <c r="F70" t="s">
        <v>26</v>
      </c>
      <c r="G70">
        <v>13.3</v>
      </c>
      <c r="H70" t="s">
        <v>18</v>
      </c>
      <c r="I70">
        <v>36.700000000000003</v>
      </c>
      <c r="J70">
        <v>3.8</v>
      </c>
      <c r="K70">
        <v>0</v>
      </c>
      <c r="L70" t="s">
        <v>21</v>
      </c>
      <c r="M70" t="str">
        <f t="shared" si="3"/>
        <v>Normal</v>
      </c>
      <c r="N70" t="str">
        <f t="shared" si="4"/>
        <v>30 and Above</v>
      </c>
      <c r="O70" t="str">
        <f t="shared" si="5"/>
        <v>2025-09</v>
      </c>
      <c r="P70" s="9" t="str">
        <f>IF(ClinicData[[#This Row],[Sex]]= "Male", ClinicData[[#This Row],[Hb_g_dL]], "")</f>
        <v/>
      </c>
      <c r="Q70" s="8">
        <f>IF(ClinicData[[#This Row],[Sex]]="Female",ClinicData[[#This Row],[Hb_g_dL]], "")</f>
        <v>13.3</v>
      </c>
    </row>
    <row r="71" spans="1:17" x14ac:dyDescent="0.2">
      <c r="A71">
        <v>1070</v>
      </c>
      <c r="B71" s="2">
        <v>45808</v>
      </c>
      <c r="C71" t="s">
        <v>22</v>
      </c>
      <c r="D71">
        <v>24</v>
      </c>
      <c r="E71" t="s">
        <v>28</v>
      </c>
      <c r="F71" t="s">
        <v>29</v>
      </c>
      <c r="G71">
        <v>10.199999999999999</v>
      </c>
      <c r="H71" t="s">
        <v>31</v>
      </c>
      <c r="I71">
        <v>38.5</v>
      </c>
      <c r="J71">
        <v>5.8</v>
      </c>
      <c r="K71">
        <v>1</v>
      </c>
      <c r="L71" t="s">
        <v>19</v>
      </c>
      <c r="M71" t="str">
        <f t="shared" si="3"/>
        <v>Anemic</v>
      </c>
      <c r="N71" t="str">
        <f t="shared" si="4"/>
        <v>Under 30</v>
      </c>
      <c r="O71" t="str">
        <f t="shared" si="5"/>
        <v>2025-05</v>
      </c>
      <c r="P71" s="9">
        <f>IF(ClinicData[[#This Row],[Sex]]= "Male", ClinicData[[#This Row],[Hb_g_dL]], "")</f>
        <v>10.199999999999999</v>
      </c>
      <c r="Q71" s="8" t="str">
        <f>IF(ClinicData[[#This Row],[Sex]]="Female",ClinicData[[#This Row],[Hb_g_dL]], "")</f>
        <v/>
      </c>
    </row>
    <row r="72" spans="1:17" x14ac:dyDescent="0.2">
      <c r="A72">
        <v>1071</v>
      </c>
      <c r="B72" s="2">
        <v>45783</v>
      </c>
      <c r="C72" t="s">
        <v>22</v>
      </c>
      <c r="D72">
        <v>23</v>
      </c>
      <c r="E72" t="s">
        <v>37</v>
      </c>
      <c r="F72" t="s">
        <v>17</v>
      </c>
      <c r="G72">
        <v>15.1</v>
      </c>
      <c r="H72" t="s">
        <v>18</v>
      </c>
      <c r="I72">
        <v>37.4</v>
      </c>
      <c r="J72">
        <v>9.3000000000000007</v>
      </c>
      <c r="K72">
        <v>6</v>
      </c>
      <c r="L72" t="s">
        <v>19</v>
      </c>
      <c r="M72" t="str">
        <f t="shared" si="3"/>
        <v>Normal</v>
      </c>
      <c r="N72" t="str">
        <f t="shared" si="4"/>
        <v>Under 30</v>
      </c>
      <c r="O72" t="str">
        <f t="shared" si="5"/>
        <v>2025-05</v>
      </c>
      <c r="P72" s="9">
        <f>IF(ClinicData[[#This Row],[Sex]]= "Male", ClinicData[[#This Row],[Hb_g_dL]], "")</f>
        <v>15.1</v>
      </c>
      <c r="Q72" s="8" t="str">
        <f>IF(ClinicData[[#This Row],[Sex]]="Female",ClinicData[[#This Row],[Hb_g_dL]], "")</f>
        <v/>
      </c>
    </row>
    <row r="73" spans="1:17" x14ac:dyDescent="0.2">
      <c r="A73">
        <v>1072</v>
      </c>
      <c r="B73" s="2">
        <v>45719</v>
      </c>
      <c r="C73" t="s">
        <v>22</v>
      </c>
      <c r="D73">
        <v>16</v>
      </c>
      <c r="E73" t="s">
        <v>37</v>
      </c>
      <c r="F73" t="s">
        <v>26</v>
      </c>
      <c r="G73">
        <v>11.9</v>
      </c>
      <c r="H73" t="s">
        <v>31</v>
      </c>
      <c r="I73">
        <v>38</v>
      </c>
      <c r="J73">
        <v>8</v>
      </c>
      <c r="K73">
        <v>1</v>
      </c>
      <c r="L73" t="s">
        <v>19</v>
      </c>
      <c r="M73" t="str">
        <f t="shared" si="3"/>
        <v>Anemic</v>
      </c>
      <c r="N73" t="str">
        <f t="shared" si="4"/>
        <v>Under 30</v>
      </c>
      <c r="O73" t="str">
        <f t="shared" si="5"/>
        <v>2025-03</v>
      </c>
      <c r="P73" s="9">
        <f>IF(ClinicData[[#This Row],[Sex]]= "Male", ClinicData[[#This Row],[Hb_g_dL]], "")</f>
        <v>11.9</v>
      </c>
      <c r="Q73" s="8" t="str">
        <f>IF(ClinicData[[#This Row],[Sex]]="Female",ClinicData[[#This Row],[Hb_g_dL]], "")</f>
        <v/>
      </c>
    </row>
    <row r="74" spans="1:17" x14ac:dyDescent="0.2">
      <c r="A74">
        <v>1073</v>
      </c>
      <c r="B74" s="2">
        <v>45975</v>
      </c>
      <c r="C74" t="s">
        <v>22</v>
      </c>
      <c r="D74">
        <v>6</v>
      </c>
      <c r="E74" t="s">
        <v>16</v>
      </c>
      <c r="F74" t="s">
        <v>26</v>
      </c>
      <c r="G74">
        <v>10.7</v>
      </c>
      <c r="H74" t="s">
        <v>31</v>
      </c>
      <c r="I74">
        <v>37.799999999999997</v>
      </c>
      <c r="J74">
        <v>6.3</v>
      </c>
      <c r="K74">
        <v>0</v>
      </c>
      <c r="L74" t="s">
        <v>21</v>
      </c>
      <c r="M74" t="str">
        <f t="shared" si="3"/>
        <v>Anemic</v>
      </c>
      <c r="N74" t="str">
        <f t="shared" si="4"/>
        <v>Under 30</v>
      </c>
      <c r="O74" t="str">
        <f t="shared" si="5"/>
        <v>2025-11</v>
      </c>
      <c r="P74" s="9">
        <f>IF(ClinicData[[#This Row],[Sex]]= "Male", ClinicData[[#This Row],[Hb_g_dL]], "")</f>
        <v>10.7</v>
      </c>
      <c r="Q74" s="8" t="str">
        <f>IF(ClinicData[[#This Row],[Sex]]="Female",ClinicData[[#This Row],[Hb_g_dL]], "")</f>
        <v/>
      </c>
    </row>
    <row r="75" spans="1:17" x14ac:dyDescent="0.2">
      <c r="A75">
        <v>1074</v>
      </c>
      <c r="B75" s="2">
        <v>45867</v>
      </c>
      <c r="C75" t="s">
        <v>15</v>
      </c>
      <c r="D75">
        <v>5</v>
      </c>
      <c r="E75" t="s">
        <v>16</v>
      </c>
      <c r="F75" t="s">
        <v>26</v>
      </c>
      <c r="G75">
        <v>9.9</v>
      </c>
      <c r="H75" t="s">
        <v>31</v>
      </c>
      <c r="I75">
        <v>38.1</v>
      </c>
      <c r="J75">
        <v>6.8</v>
      </c>
      <c r="K75">
        <v>2</v>
      </c>
      <c r="L75" t="s">
        <v>19</v>
      </c>
      <c r="M75" t="str">
        <f t="shared" si="3"/>
        <v>Anemic</v>
      </c>
      <c r="N75" t="str">
        <f t="shared" si="4"/>
        <v>Under 30</v>
      </c>
      <c r="O75" t="str">
        <f t="shared" si="5"/>
        <v>2025-07</v>
      </c>
      <c r="P75" s="9" t="str">
        <f>IF(ClinicData[[#This Row],[Sex]]= "Male", ClinicData[[#This Row],[Hb_g_dL]], "")</f>
        <v/>
      </c>
      <c r="Q75" s="8">
        <f>IF(ClinicData[[#This Row],[Sex]]="Female",ClinicData[[#This Row],[Hb_g_dL]], "")</f>
        <v>9.9</v>
      </c>
    </row>
    <row r="76" spans="1:17" x14ac:dyDescent="0.2">
      <c r="A76">
        <v>1075</v>
      </c>
      <c r="B76" s="2">
        <v>45741</v>
      </c>
      <c r="C76" t="s">
        <v>22</v>
      </c>
      <c r="D76">
        <v>23</v>
      </c>
      <c r="E76" t="s">
        <v>33</v>
      </c>
      <c r="F76" t="s">
        <v>17</v>
      </c>
      <c r="G76">
        <v>16.100000000000001</v>
      </c>
      <c r="H76" t="s">
        <v>18</v>
      </c>
      <c r="I76">
        <v>37.299999999999997</v>
      </c>
      <c r="J76">
        <v>9.1999999999999993</v>
      </c>
      <c r="K76">
        <v>14</v>
      </c>
      <c r="L76" t="s">
        <v>19</v>
      </c>
      <c r="M76" t="str">
        <f t="shared" si="3"/>
        <v>Normal</v>
      </c>
      <c r="N76" t="str">
        <f t="shared" si="4"/>
        <v>Under 30</v>
      </c>
      <c r="O76" t="str">
        <f t="shared" si="5"/>
        <v>2025-03</v>
      </c>
      <c r="P76" s="9">
        <f>IF(ClinicData[[#This Row],[Sex]]= "Male", ClinicData[[#This Row],[Hb_g_dL]], "")</f>
        <v>16.100000000000001</v>
      </c>
      <c r="Q76" s="8" t="str">
        <f>IF(ClinicData[[#This Row],[Sex]]="Female",ClinicData[[#This Row],[Hb_g_dL]], "")</f>
        <v/>
      </c>
    </row>
    <row r="77" spans="1:17" x14ac:dyDescent="0.2">
      <c r="A77">
        <v>1076</v>
      </c>
      <c r="B77" s="2">
        <v>45865</v>
      </c>
      <c r="C77" t="s">
        <v>22</v>
      </c>
      <c r="D77">
        <v>15</v>
      </c>
      <c r="E77" t="s">
        <v>16</v>
      </c>
      <c r="F77" t="s">
        <v>26</v>
      </c>
      <c r="G77">
        <v>11.8</v>
      </c>
      <c r="H77" t="s">
        <v>31</v>
      </c>
      <c r="I77">
        <v>37.299999999999997</v>
      </c>
      <c r="J77">
        <v>10.3</v>
      </c>
      <c r="K77">
        <v>0</v>
      </c>
      <c r="L77" t="s">
        <v>19</v>
      </c>
      <c r="M77" t="str">
        <f t="shared" si="3"/>
        <v>Anemic</v>
      </c>
      <c r="N77" t="str">
        <f t="shared" si="4"/>
        <v>Under 30</v>
      </c>
      <c r="O77" t="str">
        <f t="shared" si="5"/>
        <v>2025-07</v>
      </c>
      <c r="P77" s="9">
        <f>IF(ClinicData[[#This Row],[Sex]]= "Male", ClinicData[[#This Row],[Hb_g_dL]], "")</f>
        <v>11.8</v>
      </c>
      <c r="Q77" s="8" t="str">
        <f>IF(ClinicData[[#This Row],[Sex]]="Female",ClinicData[[#This Row],[Hb_g_dL]], "")</f>
        <v/>
      </c>
    </row>
    <row r="78" spans="1:17" x14ac:dyDescent="0.2">
      <c r="A78">
        <v>1077</v>
      </c>
      <c r="B78" s="2">
        <v>45940</v>
      </c>
      <c r="C78" t="s">
        <v>22</v>
      </c>
      <c r="D78">
        <v>16</v>
      </c>
      <c r="E78" t="s">
        <v>30</v>
      </c>
      <c r="F78" t="s">
        <v>29</v>
      </c>
      <c r="G78">
        <v>11.4</v>
      </c>
      <c r="H78" t="s">
        <v>31</v>
      </c>
      <c r="I78">
        <v>38.1</v>
      </c>
      <c r="J78">
        <v>8.1999999999999993</v>
      </c>
      <c r="K78">
        <v>7</v>
      </c>
      <c r="L78" t="s">
        <v>21</v>
      </c>
      <c r="M78" t="str">
        <f t="shared" si="3"/>
        <v>Anemic</v>
      </c>
      <c r="N78" t="str">
        <f t="shared" si="4"/>
        <v>Under 30</v>
      </c>
      <c r="O78" t="str">
        <f t="shared" si="5"/>
        <v>2025-10</v>
      </c>
      <c r="P78" s="9">
        <f>IF(ClinicData[[#This Row],[Sex]]= "Male", ClinicData[[#This Row],[Hb_g_dL]], "")</f>
        <v>11.4</v>
      </c>
      <c r="Q78" s="8" t="str">
        <f>IF(ClinicData[[#This Row],[Sex]]="Female",ClinicData[[#This Row],[Hb_g_dL]], "")</f>
        <v/>
      </c>
    </row>
    <row r="79" spans="1:17" x14ac:dyDescent="0.2">
      <c r="A79">
        <v>1078</v>
      </c>
      <c r="B79" s="2">
        <v>46070</v>
      </c>
      <c r="C79" t="s">
        <v>22</v>
      </c>
      <c r="D79">
        <v>1</v>
      </c>
      <c r="E79" t="s">
        <v>33</v>
      </c>
      <c r="F79" t="s">
        <v>24</v>
      </c>
      <c r="G79">
        <v>13.9</v>
      </c>
      <c r="H79" t="s">
        <v>31</v>
      </c>
      <c r="I79">
        <v>37.700000000000003</v>
      </c>
      <c r="J79">
        <v>5.7</v>
      </c>
      <c r="K79">
        <v>10</v>
      </c>
      <c r="L79" t="s">
        <v>19</v>
      </c>
      <c r="M79" t="str">
        <f t="shared" si="3"/>
        <v>Normal</v>
      </c>
      <c r="N79" t="str">
        <f t="shared" si="4"/>
        <v>Under 30</v>
      </c>
      <c r="O79" t="str">
        <f t="shared" si="5"/>
        <v>2026-02</v>
      </c>
      <c r="P79" s="9">
        <f>IF(ClinicData[[#This Row],[Sex]]= "Male", ClinicData[[#This Row],[Hb_g_dL]], "")</f>
        <v>13.9</v>
      </c>
      <c r="Q79" s="8" t="str">
        <f>IF(ClinicData[[#This Row],[Sex]]="Female",ClinicData[[#This Row],[Hb_g_dL]], "")</f>
        <v/>
      </c>
    </row>
    <row r="80" spans="1:17" x14ac:dyDescent="0.2">
      <c r="A80">
        <v>1079</v>
      </c>
      <c r="B80" s="2">
        <v>45758</v>
      </c>
      <c r="C80" t="s">
        <v>15</v>
      </c>
      <c r="D80">
        <v>4</v>
      </c>
      <c r="E80" t="s">
        <v>16</v>
      </c>
      <c r="F80" t="s">
        <v>36</v>
      </c>
      <c r="G80">
        <v>9.9</v>
      </c>
      <c r="H80" t="s">
        <v>31</v>
      </c>
      <c r="I80">
        <v>38.9</v>
      </c>
      <c r="J80">
        <v>12.2</v>
      </c>
      <c r="K80">
        <v>0</v>
      </c>
      <c r="L80" t="s">
        <v>19</v>
      </c>
      <c r="M80" t="str">
        <f t="shared" si="3"/>
        <v>Anemic</v>
      </c>
      <c r="N80" t="str">
        <f t="shared" si="4"/>
        <v>Under 30</v>
      </c>
      <c r="O80" t="str">
        <f t="shared" si="5"/>
        <v>2025-04</v>
      </c>
      <c r="P80" s="9" t="str">
        <f>IF(ClinicData[[#This Row],[Sex]]= "Male", ClinicData[[#This Row],[Hb_g_dL]], "")</f>
        <v/>
      </c>
      <c r="Q80" s="8">
        <f>IF(ClinicData[[#This Row],[Sex]]="Female",ClinicData[[#This Row],[Hb_g_dL]], "")</f>
        <v>9.9</v>
      </c>
    </row>
    <row r="81" spans="1:17" x14ac:dyDescent="0.2">
      <c r="A81">
        <v>1080</v>
      </c>
      <c r="B81" s="2">
        <v>45945</v>
      </c>
      <c r="C81" t="s">
        <v>15</v>
      </c>
      <c r="D81">
        <v>23</v>
      </c>
      <c r="E81" t="s">
        <v>28</v>
      </c>
      <c r="F81" t="s">
        <v>35</v>
      </c>
      <c r="G81">
        <v>11.2</v>
      </c>
      <c r="H81" t="s">
        <v>18</v>
      </c>
      <c r="I81">
        <v>37.200000000000003</v>
      </c>
      <c r="J81">
        <v>5.6</v>
      </c>
      <c r="K81">
        <v>1</v>
      </c>
      <c r="L81" t="s">
        <v>21</v>
      </c>
      <c r="M81" t="str">
        <f t="shared" si="3"/>
        <v>Anemic</v>
      </c>
      <c r="N81" t="str">
        <f t="shared" si="4"/>
        <v>Under 30</v>
      </c>
      <c r="O81" t="str">
        <f t="shared" si="5"/>
        <v>2025-10</v>
      </c>
      <c r="P81" s="9" t="str">
        <f>IF(ClinicData[[#This Row],[Sex]]= "Male", ClinicData[[#This Row],[Hb_g_dL]], "")</f>
        <v/>
      </c>
      <c r="Q81" s="8">
        <f>IF(ClinicData[[#This Row],[Sex]]="Female",ClinicData[[#This Row],[Hb_g_dL]], "")</f>
        <v>11.2</v>
      </c>
    </row>
    <row r="82" spans="1:17" x14ac:dyDescent="0.2">
      <c r="A82">
        <v>1081</v>
      </c>
      <c r="B82" s="2">
        <v>45875</v>
      </c>
      <c r="C82" t="s">
        <v>22</v>
      </c>
      <c r="D82">
        <v>21</v>
      </c>
      <c r="E82" t="s">
        <v>16</v>
      </c>
      <c r="F82" t="s">
        <v>36</v>
      </c>
      <c r="G82">
        <v>13.7</v>
      </c>
      <c r="H82" t="s">
        <v>18</v>
      </c>
      <c r="I82">
        <v>36.200000000000003</v>
      </c>
      <c r="J82">
        <v>8.5</v>
      </c>
      <c r="K82">
        <v>1</v>
      </c>
      <c r="L82" t="s">
        <v>21</v>
      </c>
      <c r="M82" t="str">
        <f t="shared" si="3"/>
        <v>Normal</v>
      </c>
      <c r="N82" t="str">
        <f t="shared" si="4"/>
        <v>Under 30</v>
      </c>
      <c r="O82" t="str">
        <f t="shared" si="5"/>
        <v>2025-08</v>
      </c>
      <c r="P82" s="9">
        <f>IF(ClinicData[[#This Row],[Sex]]= "Male", ClinicData[[#This Row],[Hb_g_dL]], "")</f>
        <v>13.7</v>
      </c>
      <c r="Q82" s="8" t="str">
        <f>IF(ClinicData[[#This Row],[Sex]]="Female",ClinicData[[#This Row],[Hb_g_dL]], "")</f>
        <v/>
      </c>
    </row>
    <row r="83" spans="1:17" x14ac:dyDescent="0.2">
      <c r="A83">
        <v>1082</v>
      </c>
      <c r="B83" s="2">
        <v>46072</v>
      </c>
      <c r="C83" t="s">
        <v>22</v>
      </c>
      <c r="D83">
        <v>3</v>
      </c>
      <c r="E83" t="s">
        <v>28</v>
      </c>
      <c r="F83" t="s">
        <v>35</v>
      </c>
      <c r="G83">
        <v>11.5</v>
      </c>
      <c r="H83" t="s">
        <v>18</v>
      </c>
      <c r="I83">
        <v>37</v>
      </c>
      <c r="J83">
        <v>9.8000000000000007</v>
      </c>
      <c r="K83">
        <v>2</v>
      </c>
      <c r="L83" t="s">
        <v>19</v>
      </c>
      <c r="M83" t="str">
        <f t="shared" si="3"/>
        <v>Anemic</v>
      </c>
      <c r="N83" t="str">
        <f t="shared" si="4"/>
        <v>Under 30</v>
      </c>
      <c r="O83" t="str">
        <f t="shared" si="5"/>
        <v>2026-02</v>
      </c>
      <c r="P83" s="9">
        <f>IF(ClinicData[[#This Row],[Sex]]= "Male", ClinicData[[#This Row],[Hb_g_dL]], "")</f>
        <v>11.5</v>
      </c>
      <c r="Q83" s="8" t="str">
        <f>IF(ClinicData[[#This Row],[Sex]]="Female",ClinicData[[#This Row],[Hb_g_dL]], "")</f>
        <v/>
      </c>
    </row>
    <row r="84" spans="1:17" x14ac:dyDescent="0.2">
      <c r="A84">
        <v>1083</v>
      </c>
      <c r="B84" s="2">
        <v>46026</v>
      </c>
      <c r="C84" t="s">
        <v>22</v>
      </c>
      <c r="D84">
        <v>9</v>
      </c>
      <c r="E84" t="s">
        <v>30</v>
      </c>
      <c r="F84" t="s">
        <v>17</v>
      </c>
      <c r="G84">
        <v>13.9</v>
      </c>
      <c r="H84" t="s">
        <v>18</v>
      </c>
      <c r="I84">
        <v>37.200000000000003</v>
      </c>
      <c r="J84">
        <v>7.6</v>
      </c>
      <c r="K84">
        <v>10</v>
      </c>
      <c r="L84" t="s">
        <v>21</v>
      </c>
      <c r="M84" t="str">
        <f t="shared" si="3"/>
        <v>Normal</v>
      </c>
      <c r="N84" t="str">
        <f t="shared" si="4"/>
        <v>Under 30</v>
      </c>
      <c r="O84" t="str">
        <f t="shared" si="5"/>
        <v>2026-01</v>
      </c>
      <c r="P84" s="9">
        <f>IF(ClinicData[[#This Row],[Sex]]= "Male", ClinicData[[#This Row],[Hb_g_dL]], "")</f>
        <v>13.9</v>
      </c>
      <c r="Q84" s="8" t="str">
        <f>IF(ClinicData[[#This Row],[Sex]]="Female",ClinicData[[#This Row],[Hb_g_dL]], "")</f>
        <v/>
      </c>
    </row>
    <row r="85" spans="1:17" x14ac:dyDescent="0.2">
      <c r="A85">
        <v>1084</v>
      </c>
      <c r="B85" s="2">
        <v>45757</v>
      </c>
      <c r="C85" t="s">
        <v>22</v>
      </c>
      <c r="D85">
        <v>23</v>
      </c>
      <c r="E85" t="s">
        <v>37</v>
      </c>
      <c r="F85" t="s">
        <v>29</v>
      </c>
      <c r="G85">
        <v>13.7</v>
      </c>
      <c r="H85" t="s">
        <v>18</v>
      </c>
      <c r="I85">
        <v>37.4</v>
      </c>
      <c r="J85">
        <v>4.9000000000000004</v>
      </c>
      <c r="K85">
        <v>5</v>
      </c>
      <c r="L85" t="s">
        <v>27</v>
      </c>
      <c r="M85" t="str">
        <f t="shared" si="3"/>
        <v>Normal</v>
      </c>
      <c r="N85" t="str">
        <f t="shared" si="4"/>
        <v>Under 30</v>
      </c>
      <c r="O85" t="str">
        <f t="shared" si="5"/>
        <v>2025-04</v>
      </c>
      <c r="P85" s="9">
        <f>IF(ClinicData[[#This Row],[Sex]]= "Male", ClinicData[[#This Row],[Hb_g_dL]], "")</f>
        <v>13.7</v>
      </c>
      <c r="Q85" s="8" t="str">
        <f>IF(ClinicData[[#This Row],[Sex]]="Female",ClinicData[[#This Row],[Hb_g_dL]], "")</f>
        <v/>
      </c>
    </row>
    <row r="86" spans="1:17" x14ac:dyDescent="0.2">
      <c r="A86">
        <v>1085</v>
      </c>
      <c r="B86" s="2">
        <v>45798</v>
      </c>
      <c r="C86" t="s">
        <v>15</v>
      </c>
      <c r="D86">
        <v>28</v>
      </c>
      <c r="E86" t="s">
        <v>23</v>
      </c>
      <c r="F86" t="s">
        <v>17</v>
      </c>
      <c r="G86">
        <v>16.3</v>
      </c>
      <c r="H86" t="s">
        <v>18</v>
      </c>
      <c r="I86">
        <v>37</v>
      </c>
      <c r="J86">
        <v>9.6</v>
      </c>
      <c r="K86">
        <v>4</v>
      </c>
      <c r="L86" t="s">
        <v>19</v>
      </c>
      <c r="M86" t="str">
        <f t="shared" si="3"/>
        <v>Normal</v>
      </c>
      <c r="N86" t="str">
        <f t="shared" si="4"/>
        <v>Under 30</v>
      </c>
      <c r="O86" t="str">
        <f t="shared" si="5"/>
        <v>2025-05</v>
      </c>
      <c r="P86" s="9" t="str">
        <f>IF(ClinicData[[#This Row],[Sex]]= "Male", ClinicData[[#This Row],[Hb_g_dL]], "")</f>
        <v/>
      </c>
      <c r="Q86" s="8">
        <f>IF(ClinicData[[#This Row],[Sex]]="Female",ClinicData[[#This Row],[Hb_g_dL]], "")</f>
        <v>16.3</v>
      </c>
    </row>
    <row r="87" spans="1:17" x14ac:dyDescent="0.2">
      <c r="A87">
        <v>1086</v>
      </c>
      <c r="B87" s="2">
        <v>45800</v>
      </c>
      <c r="C87" t="s">
        <v>15</v>
      </c>
      <c r="D87">
        <v>39</v>
      </c>
      <c r="E87" t="s">
        <v>16</v>
      </c>
      <c r="F87" t="s">
        <v>24</v>
      </c>
      <c r="G87">
        <v>14.7</v>
      </c>
      <c r="H87" t="s">
        <v>18</v>
      </c>
      <c r="I87">
        <v>36.200000000000003</v>
      </c>
      <c r="J87">
        <v>12.1</v>
      </c>
      <c r="K87">
        <v>2</v>
      </c>
      <c r="L87" t="s">
        <v>19</v>
      </c>
      <c r="M87" t="str">
        <f t="shared" si="3"/>
        <v>Normal</v>
      </c>
      <c r="N87" t="str">
        <f t="shared" si="4"/>
        <v>30 and Above</v>
      </c>
      <c r="O87" t="str">
        <f t="shared" si="5"/>
        <v>2025-05</v>
      </c>
      <c r="P87" s="9" t="str">
        <f>IF(ClinicData[[#This Row],[Sex]]= "Male", ClinicData[[#This Row],[Hb_g_dL]], "")</f>
        <v/>
      </c>
      <c r="Q87" s="8">
        <f>IF(ClinicData[[#This Row],[Sex]]="Female",ClinicData[[#This Row],[Hb_g_dL]], "")</f>
        <v>14.7</v>
      </c>
    </row>
    <row r="88" spans="1:17" x14ac:dyDescent="0.2">
      <c r="A88">
        <v>1087</v>
      </c>
      <c r="B88" s="2">
        <v>46010</v>
      </c>
      <c r="C88" t="s">
        <v>15</v>
      </c>
      <c r="D88">
        <v>9</v>
      </c>
      <c r="E88" t="s">
        <v>23</v>
      </c>
      <c r="F88" t="s">
        <v>35</v>
      </c>
      <c r="G88">
        <v>12</v>
      </c>
      <c r="H88" t="s">
        <v>18</v>
      </c>
      <c r="I88">
        <v>38.799999999999997</v>
      </c>
      <c r="J88">
        <v>6.9</v>
      </c>
      <c r="K88">
        <v>2</v>
      </c>
      <c r="L88" t="s">
        <v>19</v>
      </c>
      <c r="M88" t="str">
        <f t="shared" si="3"/>
        <v>Normal</v>
      </c>
      <c r="N88" t="str">
        <f t="shared" si="4"/>
        <v>Under 30</v>
      </c>
      <c r="O88" t="str">
        <f t="shared" si="5"/>
        <v>2025-12</v>
      </c>
      <c r="P88" s="9" t="str">
        <f>IF(ClinicData[[#This Row],[Sex]]= "Male", ClinicData[[#This Row],[Hb_g_dL]], "")</f>
        <v/>
      </c>
      <c r="Q88" s="8">
        <f>IF(ClinicData[[#This Row],[Sex]]="Female",ClinicData[[#This Row],[Hb_g_dL]], "")</f>
        <v>12</v>
      </c>
    </row>
    <row r="89" spans="1:17" x14ac:dyDescent="0.2">
      <c r="A89">
        <v>1088</v>
      </c>
      <c r="B89" s="2">
        <v>46038</v>
      </c>
      <c r="C89" t="s">
        <v>15</v>
      </c>
      <c r="D89">
        <v>23</v>
      </c>
      <c r="E89" t="s">
        <v>23</v>
      </c>
      <c r="F89" t="s">
        <v>20</v>
      </c>
      <c r="G89">
        <v>14.8</v>
      </c>
      <c r="H89" t="s">
        <v>18</v>
      </c>
      <c r="I89">
        <v>36</v>
      </c>
      <c r="J89">
        <v>10.3</v>
      </c>
      <c r="K89">
        <v>1</v>
      </c>
      <c r="L89" t="s">
        <v>19</v>
      </c>
      <c r="M89" t="str">
        <f t="shared" si="3"/>
        <v>Normal</v>
      </c>
      <c r="N89" t="str">
        <f t="shared" si="4"/>
        <v>Under 30</v>
      </c>
      <c r="O89" t="str">
        <f t="shared" si="5"/>
        <v>2026-01</v>
      </c>
      <c r="P89" s="9" t="str">
        <f>IF(ClinicData[[#This Row],[Sex]]= "Male", ClinicData[[#This Row],[Hb_g_dL]], "")</f>
        <v/>
      </c>
      <c r="Q89" s="8">
        <f>IF(ClinicData[[#This Row],[Sex]]="Female",ClinicData[[#This Row],[Hb_g_dL]], "")</f>
        <v>14.8</v>
      </c>
    </row>
    <row r="90" spans="1:17" x14ac:dyDescent="0.2">
      <c r="A90">
        <v>1089</v>
      </c>
      <c r="B90" s="2">
        <v>45978</v>
      </c>
      <c r="C90" t="s">
        <v>22</v>
      </c>
      <c r="D90">
        <v>17</v>
      </c>
      <c r="E90" t="s">
        <v>30</v>
      </c>
      <c r="F90" t="s">
        <v>26</v>
      </c>
      <c r="G90">
        <v>13.2</v>
      </c>
      <c r="H90" t="s">
        <v>31</v>
      </c>
      <c r="I90">
        <v>37.9</v>
      </c>
      <c r="J90">
        <v>6.9</v>
      </c>
      <c r="K90">
        <v>6</v>
      </c>
      <c r="L90" t="s">
        <v>19</v>
      </c>
      <c r="M90" t="str">
        <f t="shared" si="3"/>
        <v>Normal</v>
      </c>
      <c r="N90" t="str">
        <f t="shared" si="4"/>
        <v>Under 30</v>
      </c>
      <c r="O90" t="str">
        <f t="shared" si="5"/>
        <v>2025-11</v>
      </c>
      <c r="P90" s="9">
        <f>IF(ClinicData[[#This Row],[Sex]]= "Male", ClinicData[[#This Row],[Hb_g_dL]], "")</f>
        <v>13.2</v>
      </c>
      <c r="Q90" s="8" t="str">
        <f>IF(ClinicData[[#This Row],[Sex]]="Female",ClinicData[[#This Row],[Hb_g_dL]], "")</f>
        <v/>
      </c>
    </row>
    <row r="91" spans="1:17" x14ac:dyDescent="0.2">
      <c r="A91">
        <v>1090</v>
      </c>
      <c r="B91" s="2">
        <v>45812</v>
      </c>
      <c r="C91" t="s">
        <v>15</v>
      </c>
      <c r="D91">
        <v>33</v>
      </c>
      <c r="E91" t="s">
        <v>23</v>
      </c>
      <c r="F91" t="s">
        <v>24</v>
      </c>
      <c r="G91">
        <v>13</v>
      </c>
      <c r="H91" t="s">
        <v>31</v>
      </c>
      <c r="I91">
        <v>37.799999999999997</v>
      </c>
      <c r="J91">
        <v>11.3</v>
      </c>
      <c r="K91">
        <v>5</v>
      </c>
      <c r="L91" t="s">
        <v>19</v>
      </c>
      <c r="M91" t="str">
        <f t="shared" si="3"/>
        <v>Normal</v>
      </c>
      <c r="N91" t="str">
        <f t="shared" si="4"/>
        <v>30 and Above</v>
      </c>
      <c r="O91" t="str">
        <f t="shared" si="5"/>
        <v>2025-06</v>
      </c>
      <c r="P91" s="9" t="str">
        <f>IF(ClinicData[[#This Row],[Sex]]= "Male", ClinicData[[#This Row],[Hb_g_dL]], "")</f>
        <v/>
      </c>
      <c r="Q91" s="8">
        <f>IF(ClinicData[[#This Row],[Sex]]="Female",ClinicData[[#This Row],[Hb_g_dL]], "")</f>
        <v>13</v>
      </c>
    </row>
    <row r="92" spans="1:17" x14ac:dyDescent="0.2">
      <c r="A92">
        <v>1091</v>
      </c>
      <c r="B92" s="2">
        <v>45663</v>
      </c>
      <c r="C92" t="s">
        <v>22</v>
      </c>
      <c r="D92">
        <v>38</v>
      </c>
      <c r="E92" t="s">
        <v>30</v>
      </c>
      <c r="F92" t="s">
        <v>17</v>
      </c>
      <c r="G92">
        <v>12.2</v>
      </c>
      <c r="H92" t="s">
        <v>18</v>
      </c>
      <c r="I92">
        <v>36.6</v>
      </c>
      <c r="J92">
        <v>6.2</v>
      </c>
      <c r="K92">
        <v>1</v>
      </c>
      <c r="L92" t="s">
        <v>19</v>
      </c>
      <c r="M92" t="str">
        <f t="shared" si="3"/>
        <v>Normal</v>
      </c>
      <c r="N92" t="str">
        <f t="shared" si="4"/>
        <v>30 and Above</v>
      </c>
      <c r="O92" t="str">
        <f t="shared" si="5"/>
        <v>2025-01</v>
      </c>
      <c r="P92" s="9">
        <f>IF(ClinicData[[#This Row],[Sex]]= "Male", ClinicData[[#This Row],[Hb_g_dL]], "")</f>
        <v>12.2</v>
      </c>
      <c r="Q92" s="8" t="str">
        <f>IF(ClinicData[[#This Row],[Sex]]="Female",ClinicData[[#This Row],[Hb_g_dL]], "")</f>
        <v/>
      </c>
    </row>
    <row r="93" spans="1:17" x14ac:dyDescent="0.2">
      <c r="A93">
        <v>1092</v>
      </c>
      <c r="B93" s="2">
        <v>45865</v>
      </c>
      <c r="C93" t="s">
        <v>22</v>
      </c>
      <c r="D93">
        <v>15</v>
      </c>
      <c r="E93" t="s">
        <v>25</v>
      </c>
      <c r="F93" t="s">
        <v>26</v>
      </c>
      <c r="G93">
        <v>13.7</v>
      </c>
      <c r="H93" t="s">
        <v>18</v>
      </c>
      <c r="I93">
        <v>37.299999999999997</v>
      </c>
      <c r="J93">
        <v>7.1</v>
      </c>
      <c r="K93">
        <v>4</v>
      </c>
      <c r="L93" t="s">
        <v>21</v>
      </c>
      <c r="M93" t="str">
        <f t="shared" si="3"/>
        <v>Normal</v>
      </c>
      <c r="N93" t="str">
        <f t="shared" si="4"/>
        <v>Under 30</v>
      </c>
      <c r="O93" t="str">
        <f t="shared" si="5"/>
        <v>2025-07</v>
      </c>
      <c r="P93" s="9">
        <f>IF(ClinicData[[#This Row],[Sex]]= "Male", ClinicData[[#This Row],[Hb_g_dL]], "")</f>
        <v>13.7</v>
      </c>
      <c r="Q93" s="8" t="str">
        <f>IF(ClinicData[[#This Row],[Sex]]="Female",ClinicData[[#This Row],[Hb_g_dL]], "")</f>
        <v/>
      </c>
    </row>
    <row r="94" spans="1:17" x14ac:dyDescent="0.2">
      <c r="A94">
        <v>1093</v>
      </c>
      <c r="B94" s="2">
        <v>45989</v>
      </c>
      <c r="C94" t="s">
        <v>15</v>
      </c>
      <c r="D94">
        <v>33</v>
      </c>
      <c r="E94" t="s">
        <v>28</v>
      </c>
      <c r="F94" t="s">
        <v>26</v>
      </c>
      <c r="G94">
        <v>13.5</v>
      </c>
      <c r="H94" t="s">
        <v>18</v>
      </c>
      <c r="I94">
        <v>37.200000000000003</v>
      </c>
      <c r="J94">
        <v>4.0999999999999996</v>
      </c>
      <c r="K94">
        <v>0</v>
      </c>
      <c r="L94" t="s">
        <v>19</v>
      </c>
      <c r="M94" t="str">
        <f t="shared" si="3"/>
        <v>Normal</v>
      </c>
      <c r="N94" t="str">
        <f t="shared" si="4"/>
        <v>30 and Above</v>
      </c>
      <c r="O94" t="str">
        <f t="shared" si="5"/>
        <v>2025-11</v>
      </c>
      <c r="P94" s="9" t="str">
        <f>IF(ClinicData[[#This Row],[Sex]]= "Male", ClinicData[[#This Row],[Hb_g_dL]], "")</f>
        <v/>
      </c>
      <c r="Q94" s="8">
        <f>IF(ClinicData[[#This Row],[Sex]]="Female",ClinicData[[#This Row],[Hb_g_dL]], "")</f>
        <v>13.5</v>
      </c>
    </row>
    <row r="95" spans="1:17" x14ac:dyDescent="0.2">
      <c r="A95">
        <v>1094</v>
      </c>
      <c r="B95" s="2">
        <v>45881</v>
      </c>
      <c r="C95" t="s">
        <v>15</v>
      </c>
      <c r="D95">
        <v>28</v>
      </c>
      <c r="E95" t="s">
        <v>16</v>
      </c>
      <c r="F95" t="s">
        <v>26</v>
      </c>
      <c r="G95">
        <v>10.4</v>
      </c>
      <c r="H95" t="s">
        <v>31</v>
      </c>
      <c r="I95">
        <v>37.5</v>
      </c>
      <c r="J95">
        <v>10.6</v>
      </c>
      <c r="K95">
        <v>2</v>
      </c>
      <c r="L95" t="s">
        <v>27</v>
      </c>
      <c r="M95" t="str">
        <f t="shared" si="3"/>
        <v>Anemic</v>
      </c>
      <c r="N95" t="str">
        <f t="shared" si="4"/>
        <v>Under 30</v>
      </c>
      <c r="O95" t="str">
        <f t="shared" si="5"/>
        <v>2025-08</v>
      </c>
      <c r="P95" s="9" t="str">
        <f>IF(ClinicData[[#This Row],[Sex]]= "Male", ClinicData[[#This Row],[Hb_g_dL]], "")</f>
        <v/>
      </c>
      <c r="Q95" s="8">
        <f>IF(ClinicData[[#This Row],[Sex]]="Female",ClinicData[[#This Row],[Hb_g_dL]], "")</f>
        <v>10.4</v>
      </c>
    </row>
    <row r="96" spans="1:17" x14ac:dyDescent="0.2">
      <c r="A96">
        <v>1095</v>
      </c>
      <c r="B96" s="2">
        <v>45792</v>
      </c>
      <c r="C96" t="s">
        <v>15</v>
      </c>
      <c r="D96">
        <v>16</v>
      </c>
      <c r="E96" t="s">
        <v>37</v>
      </c>
      <c r="F96" t="s">
        <v>24</v>
      </c>
      <c r="G96">
        <v>11</v>
      </c>
      <c r="H96" t="s">
        <v>31</v>
      </c>
      <c r="I96">
        <v>38.4</v>
      </c>
      <c r="J96">
        <v>8.4</v>
      </c>
      <c r="K96">
        <v>9</v>
      </c>
      <c r="L96" t="s">
        <v>19</v>
      </c>
      <c r="M96" t="str">
        <f t="shared" si="3"/>
        <v>Anemic</v>
      </c>
      <c r="N96" t="str">
        <f t="shared" si="4"/>
        <v>Under 30</v>
      </c>
      <c r="O96" t="str">
        <f t="shared" si="5"/>
        <v>2025-05</v>
      </c>
      <c r="P96" s="9" t="str">
        <f>IF(ClinicData[[#This Row],[Sex]]= "Male", ClinicData[[#This Row],[Hb_g_dL]], "")</f>
        <v/>
      </c>
      <c r="Q96" s="8">
        <f>IF(ClinicData[[#This Row],[Sex]]="Female",ClinicData[[#This Row],[Hb_g_dL]], "")</f>
        <v>11</v>
      </c>
    </row>
    <row r="97" spans="1:17" x14ac:dyDescent="0.2">
      <c r="A97">
        <v>1096</v>
      </c>
      <c r="B97" s="2">
        <v>45778</v>
      </c>
      <c r="C97" t="s">
        <v>15</v>
      </c>
      <c r="D97">
        <v>43</v>
      </c>
      <c r="E97" t="s">
        <v>16</v>
      </c>
      <c r="F97" t="s">
        <v>35</v>
      </c>
      <c r="G97">
        <v>15.2</v>
      </c>
      <c r="H97" t="s">
        <v>18</v>
      </c>
      <c r="I97">
        <v>36.1</v>
      </c>
      <c r="J97">
        <v>11.7</v>
      </c>
      <c r="K97">
        <v>2</v>
      </c>
      <c r="L97" t="s">
        <v>34</v>
      </c>
      <c r="M97" t="str">
        <f t="shared" si="3"/>
        <v>Normal</v>
      </c>
      <c r="N97" t="str">
        <f t="shared" si="4"/>
        <v>30 and Above</v>
      </c>
      <c r="O97" t="str">
        <f t="shared" si="5"/>
        <v>2025-05</v>
      </c>
      <c r="P97" s="9" t="str">
        <f>IF(ClinicData[[#This Row],[Sex]]= "Male", ClinicData[[#This Row],[Hb_g_dL]], "")</f>
        <v/>
      </c>
      <c r="Q97" s="8">
        <f>IF(ClinicData[[#This Row],[Sex]]="Female",ClinicData[[#This Row],[Hb_g_dL]], "")</f>
        <v>15.2</v>
      </c>
    </row>
    <row r="98" spans="1:17" x14ac:dyDescent="0.2">
      <c r="A98">
        <v>1097</v>
      </c>
      <c r="B98" s="2">
        <v>45932</v>
      </c>
      <c r="C98" t="s">
        <v>22</v>
      </c>
      <c r="D98">
        <v>21</v>
      </c>
      <c r="E98" t="s">
        <v>28</v>
      </c>
      <c r="F98" t="s">
        <v>29</v>
      </c>
      <c r="G98">
        <v>8</v>
      </c>
      <c r="H98" t="s">
        <v>18</v>
      </c>
      <c r="I98">
        <v>37.200000000000003</v>
      </c>
      <c r="J98">
        <v>10.5</v>
      </c>
      <c r="K98">
        <v>0</v>
      </c>
      <c r="L98" t="s">
        <v>21</v>
      </c>
      <c r="M98" t="str">
        <f t="shared" si="3"/>
        <v>Anemic</v>
      </c>
      <c r="N98" t="str">
        <f t="shared" si="4"/>
        <v>Under 30</v>
      </c>
      <c r="O98" t="str">
        <f t="shared" si="5"/>
        <v>2025-10</v>
      </c>
      <c r="P98" s="9">
        <f>IF(ClinicData[[#This Row],[Sex]]= "Male", ClinicData[[#This Row],[Hb_g_dL]], "")</f>
        <v>8</v>
      </c>
      <c r="Q98" s="8" t="str">
        <f>IF(ClinicData[[#This Row],[Sex]]="Female",ClinicData[[#This Row],[Hb_g_dL]], "")</f>
        <v/>
      </c>
    </row>
    <row r="99" spans="1:17" x14ac:dyDescent="0.2">
      <c r="A99">
        <v>1098</v>
      </c>
      <c r="B99" s="2">
        <v>45745</v>
      </c>
      <c r="C99" t="s">
        <v>22</v>
      </c>
      <c r="D99">
        <v>2</v>
      </c>
      <c r="E99" t="s">
        <v>23</v>
      </c>
      <c r="F99" t="s">
        <v>26</v>
      </c>
      <c r="G99">
        <v>13.6</v>
      </c>
      <c r="H99" t="s">
        <v>18</v>
      </c>
      <c r="I99">
        <v>36.9</v>
      </c>
      <c r="J99">
        <v>9.5</v>
      </c>
      <c r="K99">
        <v>1</v>
      </c>
      <c r="L99" t="s">
        <v>21</v>
      </c>
      <c r="M99" t="str">
        <f t="shared" si="3"/>
        <v>Normal</v>
      </c>
      <c r="N99" t="str">
        <f t="shared" si="4"/>
        <v>Under 30</v>
      </c>
      <c r="O99" t="str">
        <f t="shared" si="5"/>
        <v>2025-03</v>
      </c>
      <c r="P99" s="9">
        <f>IF(ClinicData[[#This Row],[Sex]]= "Male", ClinicData[[#This Row],[Hb_g_dL]], "")</f>
        <v>13.6</v>
      </c>
      <c r="Q99" s="8" t="str">
        <f>IF(ClinicData[[#This Row],[Sex]]="Female",ClinicData[[#This Row],[Hb_g_dL]], "")</f>
        <v/>
      </c>
    </row>
    <row r="100" spans="1:17" x14ac:dyDescent="0.2">
      <c r="A100">
        <v>1099</v>
      </c>
      <c r="B100" s="2">
        <v>45691</v>
      </c>
      <c r="C100" t="s">
        <v>15</v>
      </c>
      <c r="D100">
        <v>42</v>
      </c>
      <c r="E100" t="s">
        <v>16</v>
      </c>
      <c r="F100" t="s">
        <v>36</v>
      </c>
      <c r="G100">
        <v>10.8</v>
      </c>
      <c r="H100" t="s">
        <v>18</v>
      </c>
      <c r="I100">
        <v>35.9</v>
      </c>
      <c r="J100">
        <v>7.6</v>
      </c>
      <c r="K100">
        <v>1</v>
      </c>
      <c r="L100" t="s">
        <v>19</v>
      </c>
      <c r="M100" t="str">
        <f t="shared" si="3"/>
        <v>Anemic</v>
      </c>
      <c r="N100" t="str">
        <f t="shared" si="4"/>
        <v>30 and Above</v>
      </c>
      <c r="O100" t="str">
        <f t="shared" si="5"/>
        <v>2025-02</v>
      </c>
      <c r="P100" s="9" t="str">
        <f>IF(ClinicData[[#This Row],[Sex]]= "Male", ClinicData[[#This Row],[Hb_g_dL]], "")</f>
        <v/>
      </c>
      <c r="Q100" s="8">
        <f>IF(ClinicData[[#This Row],[Sex]]="Female",ClinicData[[#This Row],[Hb_g_dL]], "")</f>
        <v>10.8</v>
      </c>
    </row>
    <row r="101" spans="1:17" x14ac:dyDescent="0.2">
      <c r="A101">
        <v>1100</v>
      </c>
      <c r="B101" s="2">
        <v>45763</v>
      </c>
      <c r="C101" t="s">
        <v>22</v>
      </c>
      <c r="D101">
        <v>14</v>
      </c>
      <c r="E101" t="s">
        <v>30</v>
      </c>
      <c r="F101" t="s">
        <v>29</v>
      </c>
      <c r="G101">
        <v>6.2</v>
      </c>
      <c r="H101" t="s">
        <v>31</v>
      </c>
      <c r="I101">
        <v>37.700000000000003</v>
      </c>
      <c r="J101">
        <v>7.7</v>
      </c>
      <c r="K101">
        <v>4</v>
      </c>
      <c r="L101" t="s">
        <v>19</v>
      </c>
      <c r="M101" t="str">
        <f t="shared" si="3"/>
        <v>Anemic</v>
      </c>
      <c r="N101" t="str">
        <f t="shared" si="4"/>
        <v>Under 30</v>
      </c>
      <c r="O101" t="str">
        <f t="shared" si="5"/>
        <v>2025-04</v>
      </c>
      <c r="P101" s="9">
        <f>IF(ClinicData[[#This Row],[Sex]]= "Male", ClinicData[[#This Row],[Hb_g_dL]], "")</f>
        <v>6.2</v>
      </c>
      <c r="Q101" s="8" t="str">
        <f>IF(ClinicData[[#This Row],[Sex]]="Female",ClinicData[[#This Row],[Hb_g_dL]], "")</f>
        <v/>
      </c>
    </row>
    <row r="102" spans="1:17" x14ac:dyDescent="0.2">
      <c r="A102">
        <v>1101</v>
      </c>
      <c r="B102" s="2">
        <v>45791</v>
      </c>
      <c r="C102" t="s">
        <v>22</v>
      </c>
      <c r="D102">
        <v>25</v>
      </c>
      <c r="E102" t="s">
        <v>28</v>
      </c>
      <c r="F102" t="s">
        <v>35</v>
      </c>
      <c r="G102">
        <v>16</v>
      </c>
      <c r="H102" t="s">
        <v>18</v>
      </c>
      <c r="I102">
        <v>35.799999999999997</v>
      </c>
      <c r="J102">
        <v>8.6</v>
      </c>
      <c r="K102">
        <v>2</v>
      </c>
      <c r="L102" t="s">
        <v>21</v>
      </c>
      <c r="M102" t="str">
        <f t="shared" si="3"/>
        <v>Normal</v>
      </c>
      <c r="N102" t="str">
        <f t="shared" si="4"/>
        <v>Under 30</v>
      </c>
      <c r="O102" t="str">
        <f t="shared" si="5"/>
        <v>2025-05</v>
      </c>
      <c r="P102" s="9">
        <f>IF(ClinicData[[#This Row],[Sex]]= "Male", ClinicData[[#This Row],[Hb_g_dL]], "")</f>
        <v>16</v>
      </c>
      <c r="Q102" s="8" t="str">
        <f>IF(ClinicData[[#This Row],[Sex]]="Female",ClinicData[[#This Row],[Hb_g_dL]], "")</f>
        <v/>
      </c>
    </row>
    <row r="103" spans="1:17" x14ac:dyDescent="0.2">
      <c r="A103">
        <v>1102</v>
      </c>
      <c r="B103" s="2">
        <v>46061</v>
      </c>
      <c r="C103" t="s">
        <v>22</v>
      </c>
      <c r="D103">
        <v>30</v>
      </c>
      <c r="E103" t="s">
        <v>25</v>
      </c>
      <c r="F103" t="s">
        <v>24</v>
      </c>
      <c r="G103">
        <v>12.3</v>
      </c>
      <c r="H103" t="s">
        <v>18</v>
      </c>
      <c r="I103">
        <v>37.200000000000003</v>
      </c>
      <c r="J103">
        <v>8</v>
      </c>
      <c r="K103">
        <v>5</v>
      </c>
      <c r="L103" t="s">
        <v>19</v>
      </c>
      <c r="M103" t="str">
        <f t="shared" si="3"/>
        <v>Normal</v>
      </c>
      <c r="N103" t="str">
        <f t="shared" si="4"/>
        <v>30 and Above</v>
      </c>
      <c r="O103" t="str">
        <f t="shared" si="5"/>
        <v>2026-02</v>
      </c>
      <c r="P103" s="9">
        <f>IF(ClinicData[[#This Row],[Sex]]= "Male", ClinicData[[#This Row],[Hb_g_dL]], "")</f>
        <v>12.3</v>
      </c>
      <c r="Q103" s="8" t="str">
        <f>IF(ClinicData[[#This Row],[Sex]]="Female",ClinicData[[#This Row],[Hb_g_dL]], "")</f>
        <v/>
      </c>
    </row>
    <row r="104" spans="1:17" x14ac:dyDescent="0.2">
      <c r="A104">
        <v>1103</v>
      </c>
      <c r="B104" s="2">
        <v>45761</v>
      </c>
      <c r="C104" t="s">
        <v>22</v>
      </c>
      <c r="D104">
        <v>39</v>
      </c>
      <c r="E104" t="s">
        <v>16</v>
      </c>
      <c r="F104" t="s">
        <v>29</v>
      </c>
      <c r="G104">
        <v>9.3000000000000007</v>
      </c>
      <c r="H104" t="s">
        <v>18</v>
      </c>
      <c r="I104">
        <v>35.700000000000003</v>
      </c>
      <c r="J104">
        <v>4.5</v>
      </c>
      <c r="K104">
        <v>2</v>
      </c>
      <c r="L104" t="s">
        <v>19</v>
      </c>
      <c r="M104" t="str">
        <f t="shared" si="3"/>
        <v>Anemic</v>
      </c>
      <c r="N104" t="str">
        <f t="shared" si="4"/>
        <v>30 and Above</v>
      </c>
      <c r="O104" t="str">
        <f t="shared" si="5"/>
        <v>2025-04</v>
      </c>
      <c r="P104" s="9">
        <f>IF(ClinicData[[#This Row],[Sex]]= "Male", ClinicData[[#This Row],[Hb_g_dL]], "")</f>
        <v>9.3000000000000007</v>
      </c>
      <c r="Q104" s="8" t="str">
        <f>IF(ClinicData[[#This Row],[Sex]]="Female",ClinicData[[#This Row],[Hb_g_dL]], "")</f>
        <v/>
      </c>
    </row>
    <row r="105" spans="1:17" x14ac:dyDescent="0.2">
      <c r="A105">
        <v>1104</v>
      </c>
      <c r="B105" s="2">
        <v>45739</v>
      </c>
      <c r="C105" t="s">
        <v>22</v>
      </c>
      <c r="D105">
        <v>24</v>
      </c>
      <c r="E105" t="s">
        <v>16</v>
      </c>
      <c r="F105" t="s">
        <v>17</v>
      </c>
      <c r="G105">
        <v>11</v>
      </c>
      <c r="H105" t="s">
        <v>31</v>
      </c>
      <c r="I105">
        <v>37.700000000000003</v>
      </c>
      <c r="J105">
        <v>3.8</v>
      </c>
      <c r="K105">
        <v>2</v>
      </c>
      <c r="L105" t="s">
        <v>19</v>
      </c>
      <c r="M105" t="str">
        <f t="shared" si="3"/>
        <v>Anemic</v>
      </c>
      <c r="N105" t="str">
        <f t="shared" si="4"/>
        <v>Under 30</v>
      </c>
      <c r="O105" t="str">
        <f t="shared" si="5"/>
        <v>2025-03</v>
      </c>
      <c r="P105" s="9">
        <f>IF(ClinicData[[#This Row],[Sex]]= "Male", ClinicData[[#This Row],[Hb_g_dL]], "")</f>
        <v>11</v>
      </c>
      <c r="Q105" s="8" t="str">
        <f>IF(ClinicData[[#This Row],[Sex]]="Female",ClinicData[[#This Row],[Hb_g_dL]], "")</f>
        <v/>
      </c>
    </row>
    <row r="106" spans="1:17" x14ac:dyDescent="0.2">
      <c r="A106">
        <v>1105</v>
      </c>
      <c r="B106" s="2">
        <v>45706</v>
      </c>
      <c r="C106" t="s">
        <v>22</v>
      </c>
      <c r="D106">
        <v>32</v>
      </c>
      <c r="E106" t="s">
        <v>30</v>
      </c>
      <c r="F106" t="s">
        <v>26</v>
      </c>
      <c r="G106">
        <v>12.8</v>
      </c>
      <c r="H106" t="s">
        <v>31</v>
      </c>
      <c r="I106">
        <v>38.6</v>
      </c>
      <c r="J106">
        <v>6</v>
      </c>
      <c r="K106">
        <v>7</v>
      </c>
      <c r="L106" t="s">
        <v>21</v>
      </c>
      <c r="M106" t="str">
        <f t="shared" si="3"/>
        <v>Normal</v>
      </c>
      <c r="N106" t="str">
        <f t="shared" si="4"/>
        <v>30 and Above</v>
      </c>
      <c r="O106" t="str">
        <f t="shared" si="5"/>
        <v>2025-02</v>
      </c>
      <c r="P106" s="9">
        <f>IF(ClinicData[[#This Row],[Sex]]= "Male", ClinicData[[#This Row],[Hb_g_dL]], "")</f>
        <v>12.8</v>
      </c>
      <c r="Q106" s="8" t="str">
        <f>IF(ClinicData[[#This Row],[Sex]]="Female",ClinicData[[#This Row],[Hb_g_dL]], "")</f>
        <v/>
      </c>
    </row>
    <row r="107" spans="1:17" x14ac:dyDescent="0.2">
      <c r="A107">
        <v>1106</v>
      </c>
      <c r="B107" s="2">
        <v>45893</v>
      </c>
      <c r="C107" t="s">
        <v>22</v>
      </c>
      <c r="D107">
        <v>22</v>
      </c>
      <c r="E107" t="s">
        <v>16</v>
      </c>
      <c r="F107" t="s">
        <v>17</v>
      </c>
      <c r="G107">
        <v>11.8</v>
      </c>
      <c r="H107" t="s">
        <v>18</v>
      </c>
      <c r="I107">
        <v>37.4</v>
      </c>
      <c r="J107">
        <v>5.7</v>
      </c>
      <c r="K107">
        <v>2</v>
      </c>
      <c r="L107" t="s">
        <v>21</v>
      </c>
      <c r="M107" t="str">
        <f t="shared" si="3"/>
        <v>Anemic</v>
      </c>
      <c r="N107" t="str">
        <f t="shared" si="4"/>
        <v>Under 30</v>
      </c>
      <c r="O107" t="str">
        <f t="shared" si="5"/>
        <v>2025-08</v>
      </c>
      <c r="P107" s="9">
        <f>IF(ClinicData[[#This Row],[Sex]]= "Male", ClinicData[[#This Row],[Hb_g_dL]], "")</f>
        <v>11.8</v>
      </c>
      <c r="Q107" s="8" t="str">
        <f>IF(ClinicData[[#This Row],[Sex]]="Female",ClinicData[[#This Row],[Hb_g_dL]], "")</f>
        <v/>
      </c>
    </row>
    <row r="108" spans="1:17" x14ac:dyDescent="0.2">
      <c r="A108">
        <v>1107</v>
      </c>
      <c r="B108" s="2">
        <v>45744</v>
      </c>
      <c r="C108" t="s">
        <v>22</v>
      </c>
      <c r="D108">
        <v>28</v>
      </c>
      <c r="E108" t="s">
        <v>28</v>
      </c>
      <c r="F108" t="s">
        <v>17</v>
      </c>
      <c r="G108">
        <v>14.8</v>
      </c>
      <c r="H108" t="s">
        <v>18</v>
      </c>
      <c r="I108">
        <v>36.5</v>
      </c>
      <c r="J108">
        <v>7.4</v>
      </c>
      <c r="K108">
        <v>2</v>
      </c>
      <c r="L108" t="s">
        <v>21</v>
      </c>
      <c r="M108" t="str">
        <f t="shared" si="3"/>
        <v>Normal</v>
      </c>
      <c r="N108" t="str">
        <f t="shared" si="4"/>
        <v>Under 30</v>
      </c>
      <c r="O108" t="str">
        <f t="shared" si="5"/>
        <v>2025-03</v>
      </c>
      <c r="P108" s="9">
        <f>IF(ClinicData[[#This Row],[Sex]]= "Male", ClinicData[[#This Row],[Hb_g_dL]], "")</f>
        <v>14.8</v>
      </c>
      <c r="Q108" s="8" t="str">
        <f>IF(ClinicData[[#This Row],[Sex]]="Female",ClinicData[[#This Row],[Hb_g_dL]], "")</f>
        <v/>
      </c>
    </row>
    <row r="109" spans="1:17" x14ac:dyDescent="0.2">
      <c r="A109">
        <v>1108</v>
      </c>
      <c r="B109" s="2">
        <v>45974</v>
      </c>
      <c r="C109" t="s">
        <v>22</v>
      </c>
      <c r="D109">
        <v>4</v>
      </c>
      <c r="E109" t="s">
        <v>25</v>
      </c>
      <c r="F109" t="s">
        <v>17</v>
      </c>
      <c r="G109">
        <v>14</v>
      </c>
      <c r="H109" t="s">
        <v>18</v>
      </c>
      <c r="I109">
        <v>38.5</v>
      </c>
      <c r="J109">
        <v>7.2</v>
      </c>
      <c r="K109">
        <v>2</v>
      </c>
      <c r="L109" t="s">
        <v>21</v>
      </c>
      <c r="M109" t="str">
        <f t="shared" si="3"/>
        <v>Normal</v>
      </c>
      <c r="N109" t="str">
        <f t="shared" si="4"/>
        <v>Under 30</v>
      </c>
      <c r="O109" t="str">
        <f t="shared" si="5"/>
        <v>2025-11</v>
      </c>
      <c r="P109" s="9">
        <f>IF(ClinicData[[#This Row],[Sex]]= "Male", ClinicData[[#This Row],[Hb_g_dL]], "")</f>
        <v>14</v>
      </c>
      <c r="Q109" s="8" t="str">
        <f>IF(ClinicData[[#This Row],[Sex]]="Female",ClinicData[[#This Row],[Hb_g_dL]], "")</f>
        <v/>
      </c>
    </row>
    <row r="110" spans="1:17" x14ac:dyDescent="0.2">
      <c r="A110">
        <v>1109</v>
      </c>
      <c r="B110" s="2">
        <v>45758</v>
      </c>
      <c r="C110" t="s">
        <v>22</v>
      </c>
      <c r="D110">
        <v>58</v>
      </c>
      <c r="E110" t="s">
        <v>37</v>
      </c>
      <c r="F110" t="s">
        <v>29</v>
      </c>
      <c r="G110">
        <v>12.1</v>
      </c>
      <c r="H110" t="s">
        <v>18</v>
      </c>
      <c r="I110">
        <v>37.799999999999997</v>
      </c>
      <c r="J110">
        <v>8.1</v>
      </c>
      <c r="K110">
        <v>1</v>
      </c>
      <c r="L110" t="s">
        <v>21</v>
      </c>
      <c r="M110" t="str">
        <f t="shared" si="3"/>
        <v>Normal</v>
      </c>
      <c r="N110" t="str">
        <f t="shared" si="4"/>
        <v>30 and Above</v>
      </c>
      <c r="O110" t="str">
        <f t="shared" si="5"/>
        <v>2025-04</v>
      </c>
      <c r="P110" s="9">
        <f>IF(ClinicData[[#This Row],[Sex]]= "Male", ClinicData[[#This Row],[Hb_g_dL]], "")</f>
        <v>12.1</v>
      </c>
      <c r="Q110" s="8" t="str">
        <f>IF(ClinicData[[#This Row],[Sex]]="Female",ClinicData[[#This Row],[Hb_g_dL]], "")</f>
        <v/>
      </c>
    </row>
    <row r="111" spans="1:17" x14ac:dyDescent="0.2">
      <c r="A111">
        <v>1110</v>
      </c>
      <c r="B111" s="2">
        <v>45881</v>
      </c>
      <c r="C111" t="s">
        <v>15</v>
      </c>
      <c r="D111">
        <v>40</v>
      </c>
      <c r="E111" t="s">
        <v>23</v>
      </c>
      <c r="F111" t="s">
        <v>24</v>
      </c>
      <c r="G111">
        <v>10.199999999999999</v>
      </c>
      <c r="H111" t="s">
        <v>31</v>
      </c>
      <c r="I111">
        <v>37.6</v>
      </c>
      <c r="J111">
        <v>10.7</v>
      </c>
      <c r="K111">
        <v>10</v>
      </c>
      <c r="L111" t="s">
        <v>21</v>
      </c>
      <c r="M111" t="str">
        <f t="shared" si="3"/>
        <v>Anemic</v>
      </c>
      <c r="N111" t="str">
        <f t="shared" si="4"/>
        <v>30 and Above</v>
      </c>
      <c r="O111" t="str">
        <f t="shared" si="5"/>
        <v>2025-08</v>
      </c>
      <c r="P111" s="9" t="str">
        <f>IF(ClinicData[[#This Row],[Sex]]= "Male", ClinicData[[#This Row],[Hb_g_dL]], "")</f>
        <v/>
      </c>
      <c r="Q111" s="8">
        <f>IF(ClinicData[[#This Row],[Sex]]="Female",ClinicData[[#This Row],[Hb_g_dL]], "")</f>
        <v>10.199999999999999</v>
      </c>
    </row>
    <row r="112" spans="1:17" x14ac:dyDescent="0.2">
      <c r="A112">
        <v>1111</v>
      </c>
      <c r="B112" s="2">
        <v>45775</v>
      </c>
      <c r="C112" t="s">
        <v>15</v>
      </c>
      <c r="D112">
        <v>22</v>
      </c>
      <c r="E112" t="s">
        <v>37</v>
      </c>
      <c r="F112" t="s">
        <v>17</v>
      </c>
      <c r="G112">
        <v>12.5</v>
      </c>
      <c r="H112" t="s">
        <v>18</v>
      </c>
      <c r="I112">
        <v>37.4</v>
      </c>
      <c r="J112">
        <v>9.1999999999999993</v>
      </c>
      <c r="K112">
        <v>5</v>
      </c>
      <c r="L112" t="s">
        <v>19</v>
      </c>
      <c r="M112" t="str">
        <f t="shared" si="3"/>
        <v>Normal</v>
      </c>
      <c r="N112" t="str">
        <f t="shared" si="4"/>
        <v>Under 30</v>
      </c>
      <c r="O112" t="str">
        <f t="shared" si="5"/>
        <v>2025-04</v>
      </c>
      <c r="P112" s="9" t="str">
        <f>IF(ClinicData[[#This Row],[Sex]]= "Male", ClinicData[[#This Row],[Hb_g_dL]], "")</f>
        <v/>
      </c>
      <c r="Q112" s="8">
        <f>IF(ClinicData[[#This Row],[Sex]]="Female",ClinicData[[#This Row],[Hb_g_dL]], "")</f>
        <v>12.5</v>
      </c>
    </row>
    <row r="113" spans="1:17" x14ac:dyDescent="0.2">
      <c r="A113">
        <v>1112</v>
      </c>
      <c r="B113" s="2">
        <v>45872</v>
      </c>
      <c r="C113" t="s">
        <v>22</v>
      </c>
      <c r="D113">
        <v>37</v>
      </c>
      <c r="E113" t="s">
        <v>25</v>
      </c>
      <c r="F113" t="s">
        <v>26</v>
      </c>
      <c r="G113">
        <v>13.4</v>
      </c>
      <c r="H113" t="s">
        <v>18</v>
      </c>
      <c r="I113">
        <v>37</v>
      </c>
      <c r="J113">
        <v>9.1999999999999993</v>
      </c>
      <c r="K113">
        <v>3</v>
      </c>
      <c r="L113" t="s">
        <v>19</v>
      </c>
      <c r="M113" t="str">
        <f t="shared" si="3"/>
        <v>Normal</v>
      </c>
      <c r="N113" t="str">
        <f t="shared" si="4"/>
        <v>30 and Above</v>
      </c>
      <c r="O113" t="str">
        <f t="shared" si="5"/>
        <v>2025-08</v>
      </c>
      <c r="P113" s="9">
        <f>IF(ClinicData[[#This Row],[Sex]]= "Male", ClinicData[[#This Row],[Hb_g_dL]], "")</f>
        <v>13.4</v>
      </c>
      <c r="Q113" s="8" t="str">
        <f>IF(ClinicData[[#This Row],[Sex]]="Female",ClinicData[[#This Row],[Hb_g_dL]], "")</f>
        <v/>
      </c>
    </row>
    <row r="114" spans="1:17" x14ac:dyDescent="0.2">
      <c r="A114">
        <v>1113</v>
      </c>
      <c r="B114" s="2">
        <v>45663</v>
      </c>
      <c r="C114" t="s">
        <v>22</v>
      </c>
      <c r="D114">
        <v>17</v>
      </c>
      <c r="E114" t="s">
        <v>33</v>
      </c>
      <c r="F114" t="s">
        <v>26</v>
      </c>
      <c r="G114">
        <v>15.1</v>
      </c>
      <c r="H114" t="s">
        <v>18</v>
      </c>
      <c r="I114">
        <v>37.9</v>
      </c>
      <c r="J114">
        <v>10</v>
      </c>
      <c r="K114">
        <v>17</v>
      </c>
      <c r="L114" t="s">
        <v>21</v>
      </c>
      <c r="M114" t="str">
        <f t="shared" si="3"/>
        <v>Normal</v>
      </c>
      <c r="N114" t="str">
        <f t="shared" si="4"/>
        <v>Under 30</v>
      </c>
      <c r="O114" t="str">
        <f t="shared" si="5"/>
        <v>2025-01</v>
      </c>
      <c r="P114" s="9">
        <f>IF(ClinicData[[#This Row],[Sex]]= "Male", ClinicData[[#This Row],[Hb_g_dL]], "")</f>
        <v>15.1</v>
      </c>
      <c r="Q114" s="8" t="str">
        <f>IF(ClinicData[[#This Row],[Sex]]="Female",ClinicData[[#This Row],[Hb_g_dL]], "")</f>
        <v/>
      </c>
    </row>
    <row r="115" spans="1:17" x14ac:dyDescent="0.2">
      <c r="A115">
        <v>1114</v>
      </c>
      <c r="B115" s="2">
        <v>45920</v>
      </c>
      <c r="C115" t="s">
        <v>22</v>
      </c>
      <c r="D115">
        <v>23</v>
      </c>
      <c r="E115" t="s">
        <v>28</v>
      </c>
      <c r="F115" t="s">
        <v>35</v>
      </c>
      <c r="G115">
        <v>9.3000000000000007</v>
      </c>
      <c r="H115" t="s">
        <v>18</v>
      </c>
      <c r="I115">
        <v>37.5</v>
      </c>
      <c r="J115">
        <v>9.8000000000000007</v>
      </c>
      <c r="K115">
        <v>0</v>
      </c>
      <c r="L115" t="s">
        <v>21</v>
      </c>
      <c r="M115" t="str">
        <f t="shared" si="3"/>
        <v>Anemic</v>
      </c>
      <c r="N115" t="str">
        <f t="shared" si="4"/>
        <v>Under 30</v>
      </c>
      <c r="O115" t="str">
        <f t="shared" si="5"/>
        <v>2025-09</v>
      </c>
      <c r="P115" s="9">
        <f>IF(ClinicData[[#This Row],[Sex]]= "Male", ClinicData[[#This Row],[Hb_g_dL]], "")</f>
        <v>9.3000000000000007</v>
      </c>
      <c r="Q115" s="8" t="str">
        <f>IF(ClinicData[[#This Row],[Sex]]="Female",ClinicData[[#This Row],[Hb_g_dL]], "")</f>
        <v/>
      </c>
    </row>
    <row r="116" spans="1:17" x14ac:dyDescent="0.2">
      <c r="A116">
        <v>1115</v>
      </c>
      <c r="B116" s="2">
        <v>45972</v>
      </c>
      <c r="C116" t="s">
        <v>22</v>
      </c>
      <c r="D116">
        <v>5</v>
      </c>
      <c r="E116" t="s">
        <v>28</v>
      </c>
      <c r="F116" t="s">
        <v>26</v>
      </c>
      <c r="G116">
        <v>14.2</v>
      </c>
      <c r="H116" t="s">
        <v>31</v>
      </c>
      <c r="I116">
        <v>37.4</v>
      </c>
      <c r="J116">
        <v>5.0999999999999996</v>
      </c>
      <c r="K116">
        <v>2</v>
      </c>
      <c r="L116" t="s">
        <v>19</v>
      </c>
      <c r="M116" t="str">
        <f t="shared" si="3"/>
        <v>Normal</v>
      </c>
      <c r="N116" t="str">
        <f t="shared" si="4"/>
        <v>Under 30</v>
      </c>
      <c r="O116" t="str">
        <f t="shared" si="5"/>
        <v>2025-11</v>
      </c>
      <c r="P116" s="9">
        <f>IF(ClinicData[[#This Row],[Sex]]= "Male", ClinicData[[#This Row],[Hb_g_dL]], "")</f>
        <v>14.2</v>
      </c>
      <c r="Q116" s="8" t="str">
        <f>IF(ClinicData[[#This Row],[Sex]]="Female",ClinicData[[#This Row],[Hb_g_dL]], "")</f>
        <v/>
      </c>
    </row>
    <row r="117" spans="1:17" x14ac:dyDescent="0.2">
      <c r="A117">
        <v>1116</v>
      </c>
      <c r="B117" s="2">
        <v>45772</v>
      </c>
      <c r="C117" t="s">
        <v>22</v>
      </c>
      <c r="D117">
        <v>59</v>
      </c>
      <c r="E117" t="s">
        <v>33</v>
      </c>
      <c r="F117" t="s">
        <v>36</v>
      </c>
      <c r="G117">
        <v>12.5</v>
      </c>
      <c r="H117" t="s">
        <v>18</v>
      </c>
      <c r="I117">
        <v>37.700000000000003</v>
      </c>
      <c r="J117">
        <v>11.9</v>
      </c>
      <c r="K117">
        <v>9</v>
      </c>
      <c r="L117" t="s">
        <v>19</v>
      </c>
      <c r="M117" t="str">
        <f t="shared" si="3"/>
        <v>Normal</v>
      </c>
      <c r="N117" t="str">
        <f t="shared" si="4"/>
        <v>30 and Above</v>
      </c>
      <c r="O117" t="str">
        <f t="shared" si="5"/>
        <v>2025-04</v>
      </c>
      <c r="P117" s="9">
        <f>IF(ClinicData[[#This Row],[Sex]]= "Male", ClinicData[[#This Row],[Hb_g_dL]], "")</f>
        <v>12.5</v>
      </c>
      <c r="Q117" s="8" t="str">
        <f>IF(ClinicData[[#This Row],[Sex]]="Female",ClinicData[[#This Row],[Hb_g_dL]], "")</f>
        <v/>
      </c>
    </row>
    <row r="118" spans="1:17" x14ac:dyDescent="0.2">
      <c r="A118">
        <v>1117</v>
      </c>
      <c r="B118" s="2">
        <v>45773</v>
      </c>
      <c r="C118" t="s">
        <v>15</v>
      </c>
      <c r="D118">
        <v>11</v>
      </c>
      <c r="E118" t="s">
        <v>23</v>
      </c>
      <c r="F118" t="s">
        <v>32</v>
      </c>
      <c r="G118">
        <v>11.2</v>
      </c>
      <c r="H118" t="s">
        <v>18</v>
      </c>
      <c r="I118">
        <v>37.1</v>
      </c>
      <c r="J118">
        <v>6.4</v>
      </c>
      <c r="K118">
        <v>8</v>
      </c>
      <c r="L118" t="s">
        <v>21</v>
      </c>
      <c r="M118" t="str">
        <f t="shared" si="3"/>
        <v>Anemic</v>
      </c>
      <c r="N118" t="str">
        <f t="shared" si="4"/>
        <v>Under 30</v>
      </c>
      <c r="O118" t="str">
        <f t="shared" si="5"/>
        <v>2025-04</v>
      </c>
      <c r="P118" s="9" t="str">
        <f>IF(ClinicData[[#This Row],[Sex]]= "Male", ClinicData[[#This Row],[Hb_g_dL]], "")</f>
        <v/>
      </c>
      <c r="Q118" s="8">
        <f>IF(ClinicData[[#This Row],[Sex]]="Female",ClinicData[[#This Row],[Hb_g_dL]], "")</f>
        <v>11.2</v>
      </c>
    </row>
    <row r="119" spans="1:17" x14ac:dyDescent="0.2">
      <c r="A119">
        <v>1118</v>
      </c>
      <c r="B119" s="2">
        <v>45794</v>
      </c>
      <c r="C119" t="s">
        <v>15</v>
      </c>
      <c r="D119">
        <v>27</v>
      </c>
      <c r="E119" t="s">
        <v>33</v>
      </c>
      <c r="F119" t="s">
        <v>17</v>
      </c>
      <c r="G119">
        <v>13.3</v>
      </c>
      <c r="H119" t="s">
        <v>18</v>
      </c>
      <c r="I119">
        <v>36</v>
      </c>
      <c r="J119">
        <v>5.5</v>
      </c>
      <c r="K119">
        <v>18</v>
      </c>
      <c r="L119" t="s">
        <v>21</v>
      </c>
      <c r="M119" t="str">
        <f t="shared" si="3"/>
        <v>Normal</v>
      </c>
      <c r="N119" t="str">
        <f t="shared" si="4"/>
        <v>Under 30</v>
      </c>
      <c r="O119" t="str">
        <f t="shared" si="5"/>
        <v>2025-05</v>
      </c>
      <c r="P119" s="9" t="str">
        <f>IF(ClinicData[[#This Row],[Sex]]= "Male", ClinicData[[#This Row],[Hb_g_dL]], "")</f>
        <v/>
      </c>
      <c r="Q119" s="8">
        <f>IF(ClinicData[[#This Row],[Sex]]="Female",ClinicData[[#This Row],[Hb_g_dL]], "")</f>
        <v>13.3</v>
      </c>
    </row>
    <row r="120" spans="1:17" x14ac:dyDescent="0.2">
      <c r="A120">
        <v>1119</v>
      </c>
      <c r="B120" s="2">
        <v>45701</v>
      </c>
      <c r="C120" t="s">
        <v>15</v>
      </c>
      <c r="D120">
        <v>42</v>
      </c>
      <c r="E120" t="s">
        <v>30</v>
      </c>
      <c r="F120" t="s">
        <v>32</v>
      </c>
      <c r="G120">
        <v>12.9</v>
      </c>
      <c r="H120" t="s">
        <v>31</v>
      </c>
      <c r="I120">
        <v>36.799999999999997</v>
      </c>
      <c r="J120">
        <v>10.1</v>
      </c>
      <c r="K120">
        <v>10</v>
      </c>
      <c r="L120" t="s">
        <v>19</v>
      </c>
      <c r="M120" t="str">
        <f t="shared" si="3"/>
        <v>Normal</v>
      </c>
      <c r="N120" t="str">
        <f t="shared" si="4"/>
        <v>30 and Above</v>
      </c>
      <c r="O120" t="str">
        <f t="shared" si="5"/>
        <v>2025-02</v>
      </c>
      <c r="P120" s="9" t="str">
        <f>IF(ClinicData[[#This Row],[Sex]]= "Male", ClinicData[[#This Row],[Hb_g_dL]], "")</f>
        <v/>
      </c>
      <c r="Q120" s="8">
        <f>IF(ClinicData[[#This Row],[Sex]]="Female",ClinicData[[#This Row],[Hb_g_dL]], "")</f>
        <v>12.9</v>
      </c>
    </row>
    <row r="121" spans="1:17" x14ac:dyDescent="0.2">
      <c r="A121">
        <v>1120</v>
      </c>
      <c r="B121" s="2">
        <v>45694</v>
      </c>
      <c r="C121" t="s">
        <v>15</v>
      </c>
      <c r="D121">
        <v>46</v>
      </c>
      <c r="E121" t="s">
        <v>16</v>
      </c>
      <c r="F121" t="s">
        <v>26</v>
      </c>
      <c r="G121">
        <v>12.2</v>
      </c>
      <c r="H121" t="s">
        <v>31</v>
      </c>
      <c r="I121">
        <v>37.5</v>
      </c>
      <c r="J121">
        <v>10.7</v>
      </c>
      <c r="K121">
        <v>0</v>
      </c>
      <c r="L121" t="s">
        <v>21</v>
      </c>
      <c r="M121" t="str">
        <f t="shared" si="3"/>
        <v>Normal</v>
      </c>
      <c r="N121" t="str">
        <f t="shared" si="4"/>
        <v>30 and Above</v>
      </c>
      <c r="O121" t="str">
        <f t="shared" si="5"/>
        <v>2025-02</v>
      </c>
      <c r="P121" s="9" t="str">
        <f>IF(ClinicData[[#This Row],[Sex]]= "Male", ClinicData[[#This Row],[Hb_g_dL]], "")</f>
        <v/>
      </c>
      <c r="Q121" s="8">
        <f>IF(ClinicData[[#This Row],[Sex]]="Female",ClinicData[[#This Row],[Hb_g_dL]], "")</f>
        <v>12.2</v>
      </c>
    </row>
    <row r="122" spans="1:17" x14ac:dyDescent="0.2">
      <c r="A122">
        <v>1121</v>
      </c>
      <c r="B122" s="2">
        <v>46010</v>
      </c>
      <c r="C122" t="s">
        <v>15</v>
      </c>
      <c r="D122">
        <v>16</v>
      </c>
      <c r="E122" t="s">
        <v>25</v>
      </c>
      <c r="F122" t="s">
        <v>32</v>
      </c>
      <c r="G122">
        <v>12.9</v>
      </c>
      <c r="H122" t="s">
        <v>18</v>
      </c>
      <c r="I122">
        <v>36.700000000000003</v>
      </c>
      <c r="J122">
        <v>6.5</v>
      </c>
      <c r="K122">
        <v>8</v>
      </c>
      <c r="L122" t="s">
        <v>19</v>
      </c>
      <c r="M122" t="str">
        <f t="shared" si="3"/>
        <v>Normal</v>
      </c>
      <c r="N122" t="str">
        <f t="shared" si="4"/>
        <v>Under 30</v>
      </c>
      <c r="O122" t="str">
        <f t="shared" si="5"/>
        <v>2025-12</v>
      </c>
      <c r="P122" s="9" t="str">
        <f>IF(ClinicData[[#This Row],[Sex]]= "Male", ClinicData[[#This Row],[Hb_g_dL]], "")</f>
        <v/>
      </c>
      <c r="Q122" s="8">
        <f>IF(ClinicData[[#This Row],[Sex]]="Female",ClinicData[[#This Row],[Hb_g_dL]], "")</f>
        <v>12.9</v>
      </c>
    </row>
    <row r="123" spans="1:17" x14ac:dyDescent="0.2">
      <c r="A123">
        <v>1122</v>
      </c>
      <c r="B123" s="2">
        <v>45718</v>
      </c>
      <c r="C123" t="s">
        <v>22</v>
      </c>
      <c r="D123">
        <v>16</v>
      </c>
      <c r="E123" t="s">
        <v>16</v>
      </c>
      <c r="F123" t="s">
        <v>24</v>
      </c>
      <c r="G123">
        <v>12.1</v>
      </c>
      <c r="H123" t="s">
        <v>31</v>
      </c>
      <c r="I123">
        <v>38.1</v>
      </c>
      <c r="J123">
        <v>6</v>
      </c>
      <c r="K123">
        <v>2</v>
      </c>
      <c r="L123" t="s">
        <v>19</v>
      </c>
      <c r="M123" t="str">
        <f t="shared" si="3"/>
        <v>Normal</v>
      </c>
      <c r="N123" t="str">
        <f t="shared" si="4"/>
        <v>Under 30</v>
      </c>
      <c r="O123" t="str">
        <f t="shared" si="5"/>
        <v>2025-03</v>
      </c>
      <c r="P123" s="9">
        <f>IF(ClinicData[[#This Row],[Sex]]= "Male", ClinicData[[#This Row],[Hb_g_dL]], "")</f>
        <v>12.1</v>
      </c>
      <c r="Q123" s="8" t="str">
        <f>IF(ClinicData[[#This Row],[Sex]]="Female",ClinicData[[#This Row],[Hb_g_dL]], "")</f>
        <v/>
      </c>
    </row>
    <row r="124" spans="1:17" x14ac:dyDescent="0.2">
      <c r="A124">
        <v>1123</v>
      </c>
      <c r="B124" s="2">
        <v>45822</v>
      </c>
      <c r="C124" t="s">
        <v>22</v>
      </c>
      <c r="D124">
        <v>29</v>
      </c>
      <c r="E124" t="s">
        <v>25</v>
      </c>
      <c r="F124" t="s">
        <v>32</v>
      </c>
      <c r="G124">
        <v>10.4</v>
      </c>
      <c r="H124" t="s">
        <v>18</v>
      </c>
      <c r="I124">
        <v>37.700000000000003</v>
      </c>
      <c r="J124">
        <v>10.3</v>
      </c>
      <c r="K124">
        <v>1</v>
      </c>
      <c r="L124" t="s">
        <v>19</v>
      </c>
      <c r="M124" t="str">
        <f t="shared" si="3"/>
        <v>Anemic</v>
      </c>
      <c r="N124" t="str">
        <f t="shared" si="4"/>
        <v>Under 30</v>
      </c>
      <c r="O124" t="str">
        <f t="shared" si="5"/>
        <v>2025-06</v>
      </c>
      <c r="P124" s="9">
        <f>IF(ClinicData[[#This Row],[Sex]]= "Male", ClinicData[[#This Row],[Hb_g_dL]], "")</f>
        <v>10.4</v>
      </c>
      <c r="Q124" s="8" t="str">
        <f>IF(ClinicData[[#This Row],[Sex]]="Female",ClinicData[[#This Row],[Hb_g_dL]], "")</f>
        <v/>
      </c>
    </row>
    <row r="125" spans="1:17" x14ac:dyDescent="0.2">
      <c r="A125">
        <v>1124</v>
      </c>
      <c r="B125" s="2">
        <v>46035</v>
      </c>
      <c r="C125" t="s">
        <v>15</v>
      </c>
      <c r="D125">
        <v>36</v>
      </c>
      <c r="E125" t="s">
        <v>33</v>
      </c>
      <c r="F125" t="s">
        <v>24</v>
      </c>
      <c r="G125">
        <v>12.7</v>
      </c>
      <c r="H125" t="s">
        <v>18</v>
      </c>
      <c r="I125">
        <v>36.9</v>
      </c>
      <c r="J125">
        <v>8.1</v>
      </c>
      <c r="K125">
        <v>6</v>
      </c>
      <c r="L125" t="s">
        <v>19</v>
      </c>
      <c r="M125" t="str">
        <f t="shared" si="3"/>
        <v>Normal</v>
      </c>
      <c r="N125" t="str">
        <f t="shared" si="4"/>
        <v>30 and Above</v>
      </c>
      <c r="O125" t="str">
        <f t="shared" si="5"/>
        <v>2026-01</v>
      </c>
      <c r="P125" s="9" t="str">
        <f>IF(ClinicData[[#This Row],[Sex]]= "Male", ClinicData[[#This Row],[Hb_g_dL]], "")</f>
        <v/>
      </c>
      <c r="Q125" s="8">
        <f>IF(ClinicData[[#This Row],[Sex]]="Female",ClinicData[[#This Row],[Hb_g_dL]], "")</f>
        <v>12.7</v>
      </c>
    </row>
    <row r="126" spans="1:17" x14ac:dyDescent="0.2">
      <c r="A126">
        <v>1125</v>
      </c>
      <c r="B126" s="2">
        <v>45900</v>
      </c>
      <c r="C126" t="s">
        <v>15</v>
      </c>
      <c r="D126">
        <v>16</v>
      </c>
      <c r="E126" t="s">
        <v>30</v>
      </c>
      <c r="F126" t="s">
        <v>20</v>
      </c>
      <c r="G126">
        <v>12.4</v>
      </c>
      <c r="H126" t="s">
        <v>18</v>
      </c>
      <c r="I126">
        <v>37.200000000000003</v>
      </c>
      <c r="J126">
        <v>7</v>
      </c>
      <c r="K126">
        <v>8</v>
      </c>
      <c r="L126" t="s">
        <v>19</v>
      </c>
      <c r="M126" t="str">
        <f t="shared" si="3"/>
        <v>Normal</v>
      </c>
      <c r="N126" t="str">
        <f t="shared" si="4"/>
        <v>Under 30</v>
      </c>
      <c r="O126" t="str">
        <f t="shared" si="5"/>
        <v>2025-08</v>
      </c>
      <c r="P126" s="9" t="str">
        <f>IF(ClinicData[[#This Row],[Sex]]= "Male", ClinicData[[#This Row],[Hb_g_dL]], "")</f>
        <v/>
      </c>
      <c r="Q126" s="8">
        <f>IF(ClinicData[[#This Row],[Sex]]="Female",ClinicData[[#This Row],[Hb_g_dL]], "")</f>
        <v>12.4</v>
      </c>
    </row>
    <row r="127" spans="1:17" x14ac:dyDescent="0.2">
      <c r="A127">
        <v>1126</v>
      </c>
      <c r="B127" s="2">
        <v>45797</v>
      </c>
      <c r="C127" t="s">
        <v>15</v>
      </c>
      <c r="D127">
        <v>39</v>
      </c>
      <c r="E127" t="s">
        <v>16</v>
      </c>
      <c r="F127" t="s">
        <v>24</v>
      </c>
      <c r="G127">
        <v>12.8</v>
      </c>
      <c r="H127" t="s">
        <v>31</v>
      </c>
      <c r="I127">
        <v>38.9</v>
      </c>
      <c r="J127">
        <v>9.6</v>
      </c>
      <c r="K127">
        <v>0</v>
      </c>
      <c r="L127" t="s">
        <v>19</v>
      </c>
      <c r="M127" t="str">
        <f t="shared" si="3"/>
        <v>Normal</v>
      </c>
      <c r="N127" t="str">
        <f t="shared" si="4"/>
        <v>30 and Above</v>
      </c>
      <c r="O127" t="str">
        <f t="shared" si="5"/>
        <v>2025-05</v>
      </c>
      <c r="P127" s="9" t="str">
        <f>IF(ClinicData[[#This Row],[Sex]]= "Male", ClinicData[[#This Row],[Hb_g_dL]], "")</f>
        <v/>
      </c>
      <c r="Q127" s="8">
        <f>IF(ClinicData[[#This Row],[Sex]]="Female",ClinicData[[#This Row],[Hb_g_dL]], "")</f>
        <v>12.8</v>
      </c>
    </row>
    <row r="128" spans="1:17" x14ac:dyDescent="0.2">
      <c r="A128">
        <v>1127</v>
      </c>
      <c r="B128" s="2">
        <v>45941</v>
      </c>
      <c r="C128" t="s">
        <v>15</v>
      </c>
      <c r="D128">
        <v>28</v>
      </c>
      <c r="E128" t="s">
        <v>16</v>
      </c>
      <c r="F128" t="s">
        <v>20</v>
      </c>
      <c r="G128">
        <v>12.8</v>
      </c>
      <c r="H128" t="s">
        <v>31</v>
      </c>
      <c r="I128">
        <v>39.299999999999997</v>
      </c>
      <c r="J128">
        <v>5.4</v>
      </c>
      <c r="K128">
        <v>2</v>
      </c>
      <c r="L128" t="s">
        <v>21</v>
      </c>
      <c r="M128" t="str">
        <f t="shared" si="3"/>
        <v>Normal</v>
      </c>
      <c r="N128" t="str">
        <f t="shared" si="4"/>
        <v>Under 30</v>
      </c>
      <c r="O128" t="str">
        <f t="shared" si="5"/>
        <v>2025-10</v>
      </c>
      <c r="P128" s="9" t="str">
        <f>IF(ClinicData[[#This Row],[Sex]]= "Male", ClinicData[[#This Row],[Hb_g_dL]], "")</f>
        <v/>
      </c>
      <c r="Q128" s="8">
        <f>IF(ClinicData[[#This Row],[Sex]]="Female",ClinicData[[#This Row],[Hb_g_dL]], "")</f>
        <v>12.8</v>
      </c>
    </row>
    <row r="129" spans="1:17" x14ac:dyDescent="0.2">
      <c r="A129">
        <v>1128</v>
      </c>
      <c r="B129" s="2">
        <v>45973</v>
      </c>
      <c r="C129" t="s">
        <v>22</v>
      </c>
      <c r="D129">
        <v>16</v>
      </c>
      <c r="E129" t="s">
        <v>25</v>
      </c>
      <c r="F129" t="s">
        <v>32</v>
      </c>
      <c r="G129">
        <v>14.9</v>
      </c>
      <c r="H129" t="s">
        <v>31</v>
      </c>
      <c r="I129">
        <v>38.200000000000003</v>
      </c>
      <c r="J129">
        <v>9</v>
      </c>
      <c r="K129">
        <v>1</v>
      </c>
      <c r="L129" t="s">
        <v>19</v>
      </c>
      <c r="M129" t="str">
        <f t="shared" si="3"/>
        <v>Normal</v>
      </c>
      <c r="N129" t="str">
        <f t="shared" si="4"/>
        <v>Under 30</v>
      </c>
      <c r="O129" t="str">
        <f t="shared" si="5"/>
        <v>2025-11</v>
      </c>
      <c r="P129" s="9">
        <f>IF(ClinicData[[#This Row],[Sex]]= "Male", ClinicData[[#This Row],[Hb_g_dL]], "")</f>
        <v>14.9</v>
      </c>
      <c r="Q129" s="8" t="str">
        <f>IF(ClinicData[[#This Row],[Sex]]="Female",ClinicData[[#This Row],[Hb_g_dL]], "")</f>
        <v/>
      </c>
    </row>
    <row r="130" spans="1:17" x14ac:dyDescent="0.2">
      <c r="A130">
        <v>1129</v>
      </c>
      <c r="B130" s="2">
        <v>45993</v>
      </c>
      <c r="C130" t="s">
        <v>22</v>
      </c>
      <c r="D130">
        <v>44</v>
      </c>
      <c r="E130" t="s">
        <v>16</v>
      </c>
      <c r="F130" t="s">
        <v>20</v>
      </c>
      <c r="G130">
        <v>14.3</v>
      </c>
      <c r="H130" t="s">
        <v>18</v>
      </c>
      <c r="I130">
        <v>36.700000000000003</v>
      </c>
      <c r="J130">
        <v>7.9</v>
      </c>
      <c r="K130">
        <v>2</v>
      </c>
      <c r="L130" t="s">
        <v>21</v>
      </c>
      <c r="M130" t="str">
        <f t="shared" ref="M130:M193" si="6">IF(G130&lt;12,"Anemic","Normal")</f>
        <v>Normal</v>
      </c>
      <c r="N130" t="str">
        <f t="shared" ref="N130:N193" si="7">IF(D130&lt;30,"Under 30","30 and Above")</f>
        <v>30 and Above</v>
      </c>
      <c r="O130" t="str">
        <f t="shared" ref="O130:O193" si="8">TEXT(B130,"yyyy-mm")</f>
        <v>2025-12</v>
      </c>
      <c r="P130" s="9">
        <f>IF(ClinicData[[#This Row],[Sex]]= "Male", ClinicData[[#This Row],[Hb_g_dL]], "")</f>
        <v>14.3</v>
      </c>
      <c r="Q130" s="8" t="str">
        <f>IF(ClinicData[[#This Row],[Sex]]="Female",ClinicData[[#This Row],[Hb_g_dL]], "")</f>
        <v/>
      </c>
    </row>
    <row r="131" spans="1:17" x14ac:dyDescent="0.2">
      <c r="A131">
        <v>1130</v>
      </c>
      <c r="B131" s="2">
        <v>45685</v>
      </c>
      <c r="C131" t="s">
        <v>22</v>
      </c>
      <c r="D131">
        <v>29</v>
      </c>
      <c r="E131" t="s">
        <v>37</v>
      </c>
      <c r="F131" t="s">
        <v>29</v>
      </c>
      <c r="G131">
        <v>11</v>
      </c>
      <c r="H131" t="s">
        <v>18</v>
      </c>
      <c r="I131">
        <v>36.4</v>
      </c>
      <c r="J131">
        <v>6.2</v>
      </c>
      <c r="K131">
        <v>3</v>
      </c>
      <c r="L131" t="s">
        <v>19</v>
      </c>
      <c r="M131" t="str">
        <f t="shared" si="6"/>
        <v>Anemic</v>
      </c>
      <c r="N131" t="str">
        <f t="shared" si="7"/>
        <v>Under 30</v>
      </c>
      <c r="O131" t="str">
        <f t="shared" si="8"/>
        <v>2025-01</v>
      </c>
      <c r="P131" s="9">
        <f>IF(ClinicData[[#This Row],[Sex]]= "Male", ClinicData[[#This Row],[Hb_g_dL]], "")</f>
        <v>11</v>
      </c>
      <c r="Q131" s="8" t="str">
        <f>IF(ClinicData[[#This Row],[Sex]]="Female",ClinicData[[#This Row],[Hb_g_dL]], "")</f>
        <v/>
      </c>
    </row>
    <row r="132" spans="1:17" x14ac:dyDescent="0.2">
      <c r="A132">
        <v>1131</v>
      </c>
      <c r="B132" s="2">
        <v>45710</v>
      </c>
      <c r="C132" t="s">
        <v>22</v>
      </c>
      <c r="D132">
        <v>16</v>
      </c>
      <c r="E132" t="s">
        <v>30</v>
      </c>
      <c r="F132" t="s">
        <v>17</v>
      </c>
      <c r="G132">
        <v>15.9</v>
      </c>
      <c r="H132" t="s">
        <v>18</v>
      </c>
      <c r="I132">
        <v>37.1</v>
      </c>
      <c r="J132">
        <v>11.8</v>
      </c>
      <c r="K132">
        <v>4</v>
      </c>
      <c r="L132" t="s">
        <v>19</v>
      </c>
      <c r="M132" t="str">
        <f t="shared" si="6"/>
        <v>Normal</v>
      </c>
      <c r="N132" t="str">
        <f t="shared" si="7"/>
        <v>Under 30</v>
      </c>
      <c r="O132" t="str">
        <f t="shared" si="8"/>
        <v>2025-02</v>
      </c>
      <c r="P132" s="9">
        <f>IF(ClinicData[[#This Row],[Sex]]= "Male", ClinicData[[#This Row],[Hb_g_dL]], "")</f>
        <v>15.9</v>
      </c>
      <c r="Q132" s="8" t="str">
        <f>IF(ClinicData[[#This Row],[Sex]]="Female",ClinicData[[#This Row],[Hb_g_dL]], "")</f>
        <v/>
      </c>
    </row>
    <row r="133" spans="1:17" x14ac:dyDescent="0.2">
      <c r="A133">
        <v>1132</v>
      </c>
      <c r="B133" s="2">
        <v>45667</v>
      </c>
      <c r="C133" t="s">
        <v>22</v>
      </c>
      <c r="D133">
        <v>27</v>
      </c>
      <c r="E133" t="s">
        <v>28</v>
      </c>
      <c r="F133" t="s">
        <v>29</v>
      </c>
      <c r="G133">
        <v>8</v>
      </c>
      <c r="H133" t="s">
        <v>18</v>
      </c>
      <c r="I133">
        <v>37.700000000000003</v>
      </c>
      <c r="J133">
        <v>9.8000000000000007</v>
      </c>
      <c r="K133">
        <v>1</v>
      </c>
      <c r="L133" t="s">
        <v>21</v>
      </c>
      <c r="M133" t="str">
        <f t="shared" si="6"/>
        <v>Anemic</v>
      </c>
      <c r="N133" t="str">
        <f t="shared" si="7"/>
        <v>Under 30</v>
      </c>
      <c r="O133" t="str">
        <f t="shared" si="8"/>
        <v>2025-01</v>
      </c>
      <c r="P133" s="9">
        <f>IF(ClinicData[[#This Row],[Sex]]= "Male", ClinicData[[#This Row],[Hb_g_dL]], "")</f>
        <v>8</v>
      </c>
      <c r="Q133" s="8" t="str">
        <f>IF(ClinicData[[#This Row],[Sex]]="Female",ClinicData[[#This Row],[Hb_g_dL]], "")</f>
        <v/>
      </c>
    </row>
    <row r="134" spans="1:17" x14ac:dyDescent="0.2">
      <c r="A134">
        <v>1133</v>
      </c>
      <c r="B134" s="2">
        <v>46021</v>
      </c>
      <c r="C134" t="s">
        <v>22</v>
      </c>
      <c r="D134">
        <v>44</v>
      </c>
      <c r="E134" t="s">
        <v>30</v>
      </c>
      <c r="F134" t="s">
        <v>36</v>
      </c>
      <c r="G134">
        <v>13.1</v>
      </c>
      <c r="H134" t="s">
        <v>31</v>
      </c>
      <c r="I134">
        <v>38</v>
      </c>
      <c r="J134">
        <v>6.3</v>
      </c>
      <c r="K134">
        <v>7</v>
      </c>
      <c r="L134" t="s">
        <v>21</v>
      </c>
      <c r="M134" t="str">
        <f t="shared" si="6"/>
        <v>Normal</v>
      </c>
      <c r="N134" t="str">
        <f t="shared" si="7"/>
        <v>30 and Above</v>
      </c>
      <c r="O134" t="str">
        <f t="shared" si="8"/>
        <v>2025-12</v>
      </c>
      <c r="P134" s="9">
        <f>IF(ClinicData[[#This Row],[Sex]]= "Male", ClinicData[[#This Row],[Hb_g_dL]], "")</f>
        <v>13.1</v>
      </c>
      <c r="Q134" s="8" t="str">
        <f>IF(ClinicData[[#This Row],[Sex]]="Female",ClinicData[[#This Row],[Hb_g_dL]], "")</f>
        <v/>
      </c>
    </row>
    <row r="135" spans="1:17" x14ac:dyDescent="0.2">
      <c r="A135">
        <v>1134</v>
      </c>
      <c r="B135" s="2">
        <v>45742</v>
      </c>
      <c r="C135" t="s">
        <v>15</v>
      </c>
      <c r="D135">
        <v>16</v>
      </c>
      <c r="E135" t="s">
        <v>23</v>
      </c>
      <c r="F135" t="s">
        <v>20</v>
      </c>
      <c r="G135">
        <v>12.2</v>
      </c>
      <c r="H135" t="s">
        <v>18</v>
      </c>
      <c r="I135">
        <v>36.299999999999997</v>
      </c>
      <c r="J135">
        <v>10.4</v>
      </c>
      <c r="K135">
        <v>2</v>
      </c>
      <c r="L135" t="s">
        <v>21</v>
      </c>
      <c r="M135" t="str">
        <f t="shared" si="6"/>
        <v>Normal</v>
      </c>
      <c r="N135" t="str">
        <f t="shared" si="7"/>
        <v>Under 30</v>
      </c>
      <c r="O135" t="str">
        <f t="shared" si="8"/>
        <v>2025-03</v>
      </c>
      <c r="P135" s="9" t="str">
        <f>IF(ClinicData[[#This Row],[Sex]]= "Male", ClinicData[[#This Row],[Hb_g_dL]], "")</f>
        <v/>
      </c>
      <c r="Q135" s="8">
        <f>IF(ClinicData[[#This Row],[Sex]]="Female",ClinicData[[#This Row],[Hb_g_dL]], "")</f>
        <v>12.2</v>
      </c>
    </row>
    <row r="136" spans="1:17" x14ac:dyDescent="0.2">
      <c r="A136">
        <v>1135</v>
      </c>
      <c r="B136" s="2">
        <v>45980</v>
      </c>
      <c r="C136" t="s">
        <v>15</v>
      </c>
      <c r="D136">
        <v>56</v>
      </c>
      <c r="E136" t="s">
        <v>25</v>
      </c>
      <c r="F136" t="s">
        <v>35</v>
      </c>
      <c r="G136">
        <v>12.4</v>
      </c>
      <c r="H136" t="s">
        <v>18</v>
      </c>
      <c r="I136">
        <v>36.5</v>
      </c>
      <c r="J136">
        <v>8.1</v>
      </c>
      <c r="K136">
        <v>10</v>
      </c>
      <c r="L136" t="s">
        <v>19</v>
      </c>
      <c r="M136" t="str">
        <f t="shared" si="6"/>
        <v>Normal</v>
      </c>
      <c r="N136" t="str">
        <f t="shared" si="7"/>
        <v>30 and Above</v>
      </c>
      <c r="O136" t="str">
        <f t="shared" si="8"/>
        <v>2025-11</v>
      </c>
      <c r="P136" s="9" t="str">
        <f>IF(ClinicData[[#This Row],[Sex]]= "Male", ClinicData[[#This Row],[Hb_g_dL]], "")</f>
        <v/>
      </c>
      <c r="Q136" s="8">
        <f>IF(ClinicData[[#This Row],[Sex]]="Female",ClinicData[[#This Row],[Hb_g_dL]], "")</f>
        <v>12.4</v>
      </c>
    </row>
    <row r="137" spans="1:17" x14ac:dyDescent="0.2">
      <c r="A137">
        <v>1136</v>
      </c>
      <c r="B137" s="2">
        <v>45665</v>
      </c>
      <c r="C137" t="s">
        <v>15</v>
      </c>
      <c r="D137">
        <v>45</v>
      </c>
      <c r="E137" t="s">
        <v>28</v>
      </c>
      <c r="F137" t="s">
        <v>35</v>
      </c>
      <c r="G137">
        <v>10.8</v>
      </c>
      <c r="H137" t="s">
        <v>18</v>
      </c>
      <c r="I137">
        <v>37.6</v>
      </c>
      <c r="J137">
        <v>4.9000000000000004</v>
      </c>
      <c r="K137">
        <v>1</v>
      </c>
      <c r="L137" t="s">
        <v>19</v>
      </c>
      <c r="M137" t="str">
        <f t="shared" si="6"/>
        <v>Anemic</v>
      </c>
      <c r="N137" t="str">
        <f t="shared" si="7"/>
        <v>30 and Above</v>
      </c>
      <c r="O137" t="str">
        <f t="shared" si="8"/>
        <v>2025-01</v>
      </c>
      <c r="P137" s="9" t="str">
        <f>IF(ClinicData[[#This Row],[Sex]]= "Male", ClinicData[[#This Row],[Hb_g_dL]], "")</f>
        <v/>
      </c>
      <c r="Q137" s="8">
        <f>IF(ClinicData[[#This Row],[Sex]]="Female",ClinicData[[#This Row],[Hb_g_dL]], "")</f>
        <v>10.8</v>
      </c>
    </row>
    <row r="138" spans="1:17" x14ac:dyDescent="0.2">
      <c r="A138">
        <v>1137</v>
      </c>
      <c r="B138" s="2">
        <v>45658</v>
      </c>
      <c r="C138" t="s">
        <v>22</v>
      </c>
      <c r="D138">
        <v>16</v>
      </c>
      <c r="E138" t="s">
        <v>16</v>
      </c>
      <c r="F138" t="s">
        <v>36</v>
      </c>
      <c r="G138">
        <v>14</v>
      </c>
      <c r="H138" t="s">
        <v>18</v>
      </c>
      <c r="I138">
        <v>36.5</v>
      </c>
      <c r="J138">
        <v>10.4</v>
      </c>
      <c r="K138">
        <v>2</v>
      </c>
      <c r="L138" t="s">
        <v>19</v>
      </c>
      <c r="M138" t="str">
        <f t="shared" si="6"/>
        <v>Normal</v>
      </c>
      <c r="N138" t="str">
        <f t="shared" si="7"/>
        <v>Under 30</v>
      </c>
      <c r="O138" t="str">
        <f t="shared" si="8"/>
        <v>2025-01</v>
      </c>
      <c r="P138" s="9">
        <f>IF(ClinicData[[#This Row],[Sex]]= "Male", ClinicData[[#This Row],[Hb_g_dL]], "")</f>
        <v>14</v>
      </c>
      <c r="Q138" s="8" t="str">
        <f>IF(ClinicData[[#This Row],[Sex]]="Female",ClinicData[[#This Row],[Hb_g_dL]], "")</f>
        <v/>
      </c>
    </row>
    <row r="139" spans="1:17" x14ac:dyDescent="0.2">
      <c r="A139">
        <v>1138</v>
      </c>
      <c r="B139" s="2">
        <v>46066</v>
      </c>
      <c r="C139" t="s">
        <v>15</v>
      </c>
      <c r="D139">
        <v>48</v>
      </c>
      <c r="E139" t="s">
        <v>30</v>
      </c>
      <c r="F139" t="s">
        <v>35</v>
      </c>
      <c r="G139">
        <v>9.4</v>
      </c>
      <c r="H139" t="s">
        <v>31</v>
      </c>
      <c r="I139">
        <v>37.6</v>
      </c>
      <c r="J139">
        <v>8.6999999999999993</v>
      </c>
      <c r="K139">
        <v>4</v>
      </c>
      <c r="L139" t="s">
        <v>19</v>
      </c>
      <c r="M139" t="str">
        <f t="shared" si="6"/>
        <v>Anemic</v>
      </c>
      <c r="N139" t="str">
        <f t="shared" si="7"/>
        <v>30 and Above</v>
      </c>
      <c r="O139" t="str">
        <f t="shared" si="8"/>
        <v>2026-02</v>
      </c>
      <c r="P139" s="9" t="str">
        <f>IF(ClinicData[[#This Row],[Sex]]= "Male", ClinicData[[#This Row],[Hb_g_dL]], "")</f>
        <v/>
      </c>
      <c r="Q139" s="8">
        <f>IF(ClinicData[[#This Row],[Sex]]="Female",ClinicData[[#This Row],[Hb_g_dL]], "")</f>
        <v>9.4</v>
      </c>
    </row>
    <row r="140" spans="1:17" x14ac:dyDescent="0.2">
      <c r="A140">
        <v>1139</v>
      </c>
      <c r="B140" s="2">
        <v>45860</v>
      </c>
      <c r="C140" t="s">
        <v>22</v>
      </c>
      <c r="D140">
        <v>16</v>
      </c>
      <c r="E140" t="s">
        <v>16</v>
      </c>
      <c r="F140" t="s">
        <v>29</v>
      </c>
      <c r="G140">
        <v>8.6999999999999993</v>
      </c>
      <c r="H140" t="s">
        <v>18</v>
      </c>
      <c r="I140">
        <v>37.1</v>
      </c>
      <c r="J140">
        <v>7.7</v>
      </c>
      <c r="K140">
        <v>2</v>
      </c>
      <c r="L140" t="s">
        <v>19</v>
      </c>
      <c r="M140" t="str">
        <f t="shared" si="6"/>
        <v>Anemic</v>
      </c>
      <c r="N140" t="str">
        <f t="shared" si="7"/>
        <v>Under 30</v>
      </c>
      <c r="O140" t="str">
        <f t="shared" si="8"/>
        <v>2025-07</v>
      </c>
      <c r="P140" s="9">
        <f>IF(ClinicData[[#This Row],[Sex]]= "Male", ClinicData[[#This Row],[Hb_g_dL]], "")</f>
        <v>8.6999999999999993</v>
      </c>
      <c r="Q140" s="8" t="str">
        <f>IF(ClinicData[[#This Row],[Sex]]="Female",ClinicData[[#This Row],[Hb_g_dL]], "")</f>
        <v/>
      </c>
    </row>
    <row r="141" spans="1:17" x14ac:dyDescent="0.2">
      <c r="A141">
        <v>1140</v>
      </c>
      <c r="B141" s="2">
        <v>45790</v>
      </c>
      <c r="C141" t="s">
        <v>15</v>
      </c>
      <c r="D141">
        <v>20</v>
      </c>
      <c r="E141" t="s">
        <v>28</v>
      </c>
      <c r="F141" t="s">
        <v>17</v>
      </c>
      <c r="G141">
        <v>11.8</v>
      </c>
      <c r="H141" t="s">
        <v>31</v>
      </c>
      <c r="I141">
        <v>38.4</v>
      </c>
      <c r="J141">
        <v>5.7</v>
      </c>
      <c r="K141">
        <v>1</v>
      </c>
      <c r="L141" t="s">
        <v>21</v>
      </c>
      <c r="M141" t="str">
        <f t="shared" si="6"/>
        <v>Anemic</v>
      </c>
      <c r="N141" t="str">
        <f t="shared" si="7"/>
        <v>Under 30</v>
      </c>
      <c r="O141" t="str">
        <f t="shared" si="8"/>
        <v>2025-05</v>
      </c>
      <c r="P141" s="9" t="str">
        <f>IF(ClinicData[[#This Row],[Sex]]= "Male", ClinicData[[#This Row],[Hb_g_dL]], "")</f>
        <v/>
      </c>
      <c r="Q141" s="8">
        <f>IF(ClinicData[[#This Row],[Sex]]="Female",ClinicData[[#This Row],[Hb_g_dL]], "")</f>
        <v>11.8</v>
      </c>
    </row>
    <row r="142" spans="1:17" x14ac:dyDescent="0.2">
      <c r="A142">
        <v>1141</v>
      </c>
      <c r="B142" s="2">
        <v>45734</v>
      </c>
      <c r="C142" t="s">
        <v>22</v>
      </c>
      <c r="D142">
        <v>40</v>
      </c>
      <c r="E142" t="s">
        <v>23</v>
      </c>
      <c r="F142" t="s">
        <v>32</v>
      </c>
      <c r="G142">
        <v>13.1</v>
      </c>
      <c r="H142" t="s">
        <v>18</v>
      </c>
      <c r="I142">
        <v>37.1</v>
      </c>
      <c r="J142">
        <v>7.3</v>
      </c>
      <c r="K142">
        <v>5</v>
      </c>
      <c r="L142" t="s">
        <v>19</v>
      </c>
      <c r="M142" t="str">
        <f t="shared" si="6"/>
        <v>Normal</v>
      </c>
      <c r="N142" t="str">
        <f t="shared" si="7"/>
        <v>30 and Above</v>
      </c>
      <c r="O142" t="str">
        <f t="shared" si="8"/>
        <v>2025-03</v>
      </c>
      <c r="P142" s="9">
        <f>IF(ClinicData[[#This Row],[Sex]]= "Male", ClinicData[[#This Row],[Hb_g_dL]], "")</f>
        <v>13.1</v>
      </c>
      <c r="Q142" s="8" t="str">
        <f>IF(ClinicData[[#This Row],[Sex]]="Female",ClinicData[[#This Row],[Hb_g_dL]], "")</f>
        <v/>
      </c>
    </row>
    <row r="143" spans="1:17" x14ac:dyDescent="0.2">
      <c r="A143">
        <v>1142</v>
      </c>
      <c r="B143" s="2">
        <v>45675</v>
      </c>
      <c r="C143" t="s">
        <v>22</v>
      </c>
      <c r="D143">
        <v>31</v>
      </c>
      <c r="E143" t="s">
        <v>23</v>
      </c>
      <c r="F143" t="s">
        <v>17</v>
      </c>
      <c r="G143">
        <v>14.8</v>
      </c>
      <c r="H143" t="s">
        <v>18</v>
      </c>
      <c r="I143">
        <v>36.799999999999997</v>
      </c>
      <c r="J143">
        <v>9.5</v>
      </c>
      <c r="K143">
        <v>10</v>
      </c>
      <c r="L143" t="s">
        <v>27</v>
      </c>
      <c r="M143" t="str">
        <f t="shared" si="6"/>
        <v>Normal</v>
      </c>
      <c r="N143" t="str">
        <f t="shared" si="7"/>
        <v>30 and Above</v>
      </c>
      <c r="O143" t="str">
        <f t="shared" si="8"/>
        <v>2025-01</v>
      </c>
      <c r="P143" s="9">
        <f>IF(ClinicData[[#This Row],[Sex]]= "Male", ClinicData[[#This Row],[Hb_g_dL]], "")</f>
        <v>14.8</v>
      </c>
      <c r="Q143" s="8" t="str">
        <f>IF(ClinicData[[#This Row],[Sex]]="Female",ClinicData[[#This Row],[Hb_g_dL]], "")</f>
        <v/>
      </c>
    </row>
    <row r="144" spans="1:17" x14ac:dyDescent="0.2">
      <c r="A144">
        <v>1143</v>
      </c>
      <c r="B144" s="2">
        <v>45788</v>
      </c>
      <c r="C144" t="s">
        <v>15</v>
      </c>
      <c r="D144">
        <v>36</v>
      </c>
      <c r="E144" t="s">
        <v>33</v>
      </c>
      <c r="F144" t="s">
        <v>35</v>
      </c>
      <c r="G144">
        <v>12.9</v>
      </c>
      <c r="H144" t="s">
        <v>31</v>
      </c>
      <c r="I144">
        <v>38.1</v>
      </c>
      <c r="J144">
        <v>4.5</v>
      </c>
      <c r="K144">
        <v>15</v>
      </c>
      <c r="L144" t="s">
        <v>21</v>
      </c>
      <c r="M144" t="str">
        <f t="shared" si="6"/>
        <v>Normal</v>
      </c>
      <c r="N144" t="str">
        <f t="shared" si="7"/>
        <v>30 and Above</v>
      </c>
      <c r="O144" t="str">
        <f t="shared" si="8"/>
        <v>2025-05</v>
      </c>
      <c r="P144" s="9" t="str">
        <f>IF(ClinicData[[#This Row],[Sex]]= "Male", ClinicData[[#This Row],[Hb_g_dL]], "")</f>
        <v/>
      </c>
      <c r="Q144" s="8">
        <f>IF(ClinicData[[#This Row],[Sex]]="Female",ClinicData[[#This Row],[Hb_g_dL]], "")</f>
        <v>12.9</v>
      </c>
    </row>
    <row r="145" spans="1:17" x14ac:dyDescent="0.2">
      <c r="A145">
        <v>1144</v>
      </c>
      <c r="B145" s="2">
        <v>45704</v>
      </c>
      <c r="C145" t="s">
        <v>22</v>
      </c>
      <c r="D145">
        <v>30</v>
      </c>
      <c r="E145" t="s">
        <v>23</v>
      </c>
      <c r="F145" t="s">
        <v>36</v>
      </c>
      <c r="G145">
        <v>12.4</v>
      </c>
      <c r="H145" t="s">
        <v>18</v>
      </c>
      <c r="I145">
        <v>37.4</v>
      </c>
      <c r="J145">
        <v>10.6</v>
      </c>
      <c r="K145">
        <v>4</v>
      </c>
      <c r="L145" t="s">
        <v>27</v>
      </c>
      <c r="M145" t="str">
        <f t="shared" si="6"/>
        <v>Normal</v>
      </c>
      <c r="N145" t="str">
        <f t="shared" si="7"/>
        <v>30 and Above</v>
      </c>
      <c r="O145" t="str">
        <f t="shared" si="8"/>
        <v>2025-02</v>
      </c>
      <c r="P145" s="9">
        <f>IF(ClinicData[[#This Row],[Sex]]= "Male", ClinicData[[#This Row],[Hb_g_dL]], "")</f>
        <v>12.4</v>
      </c>
      <c r="Q145" s="8" t="str">
        <f>IF(ClinicData[[#This Row],[Sex]]="Female",ClinicData[[#This Row],[Hb_g_dL]], "")</f>
        <v/>
      </c>
    </row>
    <row r="146" spans="1:17" x14ac:dyDescent="0.2">
      <c r="A146">
        <v>1145</v>
      </c>
      <c r="B146" s="2">
        <v>45838</v>
      </c>
      <c r="C146" t="s">
        <v>22</v>
      </c>
      <c r="D146">
        <v>55</v>
      </c>
      <c r="E146" t="s">
        <v>16</v>
      </c>
      <c r="F146" t="s">
        <v>36</v>
      </c>
      <c r="G146">
        <v>11.2</v>
      </c>
      <c r="H146" t="s">
        <v>18</v>
      </c>
      <c r="I146">
        <v>36.9</v>
      </c>
      <c r="J146">
        <v>7.7</v>
      </c>
      <c r="K146">
        <v>0</v>
      </c>
      <c r="L146" t="s">
        <v>19</v>
      </c>
      <c r="M146" t="str">
        <f t="shared" si="6"/>
        <v>Anemic</v>
      </c>
      <c r="N146" t="str">
        <f t="shared" si="7"/>
        <v>30 and Above</v>
      </c>
      <c r="O146" t="str">
        <f t="shared" si="8"/>
        <v>2025-06</v>
      </c>
      <c r="P146" s="9">
        <f>IF(ClinicData[[#This Row],[Sex]]= "Male", ClinicData[[#This Row],[Hb_g_dL]], "")</f>
        <v>11.2</v>
      </c>
      <c r="Q146" s="8" t="str">
        <f>IF(ClinicData[[#This Row],[Sex]]="Female",ClinicData[[#This Row],[Hb_g_dL]], "")</f>
        <v/>
      </c>
    </row>
    <row r="147" spans="1:17" x14ac:dyDescent="0.2">
      <c r="A147">
        <v>1146</v>
      </c>
      <c r="B147" s="2">
        <v>46044</v>
      </c>
      <c r="C147" t="s">
        <v>22</v>
      </c>
      <c r="D147">
        <v>12</v>
      </c>
      <c r="E147" t="s">
        <v>16</v>
      </c>
      <c r="F147" t="s">
        <v>17</v>
      </c>
      <c r="G147">
        <v>12</v>
      </c>
      <c r="H147" t="s">
        <v>18</v>
      </c>
      <c r="I147">
        <v>37.4</v>
      </c>
      <c r="J147">
        <v>8.6999999999999993</v>
      </c>
      <c r="K147">
        <v>1</v>
      </c>
      <c r="L147" t="s">
        <v>19</v>
      </c>
      <c r="M147" t="str">
        <f t="shared" si="6"/>
        <v>Normal</v>
      </c>
      <c r="N147" t="str">
        <f t="shared" si="7"/>
        <v>Under 30</v>
      </c>
      <c r="O147" t="str">
        <f t="shared" si="8"/>
        <v>2026-01</v>
      </c>
      <c r="P147" s="9">
        <f>IF(ClinicData[[#This Row],[Sex]]= "Male", ClinicData[[#This Row],[Hb_g_dL]], "")</f>
        <v>12</v>
      </c>
      <c r="Q147" s="8" t="str">
        <f>IF(ClinicData[[#This Row],[Sex]]="Female",ClinicData[[#This Row],[Hb_g_dL]], "")</f>
        <v/>
      </c>
    </row>
    <row r="148" spans="1:17" x14ac:dyDescent="0.2">
      <c r="A148">
        <v>1147</v>
      </c>
      <c r="B148" s="2">
        <v>45849</v>
      </c>
      <c r="C148" t="s">
        <v>22</v>
      </c>
      <c r="D148">
        <v>4</v>
      </c>
      <c r="E148" t="s">
        <v>37</v>
      </c>
      <c r="F148" t="s">
        <v>36</v>
      </c>
      <c r="G148">
        <v>10.5</v>
      </c>
      <c r="H148" t="s">
        <v>18</v>
      </c>
      <c r="I148">
        <v>37.299999999999997</v>
      </c>
      <c r="J148">
        <v>7.9</v>
      </c>
      <c r="K148">
        <v>4</v>
      </c>
      <c r="L148" t="s">
        <v>19</v>
      </c>
      <c r="M148" t="str">
        <f t="shared" si="6"/>
        <v>Anemic</v>
      </c>
      <c r="N148" t="str">
        <f t="shared" si="7"/>
        <v>Under 30</v>
      </c>
      <c r="O148" t="str">
        <f t="shared" si="8"/>
        <v>2025-07</v>
      </c>
      <c r="P148" s="9">
        <f>IF(ClinicData[[#This Row],[Sex]]= "Male", ClinicData[[#This Row],[Hb_g_dL]], "")</f>
        <v>10.5</v>
      </c>
      <c r="Q148" s="8" t="str">
        <f>IF(ClinicData[[#This Row],[Sex]]="Female",ClinicData[[#This Row],[Hb_g_dL]], "")</f>
        <v/>
      </c>
    </row>
    <row r="149" spans="1:17" x14ac:dyDescent="0.2">
      <c r="A149">
        <v>1148</v>
      </c>
      <c r="B149" s="2">
        <v>45849</v>
      </c>
      <c r="C149" t="s">
        <v>15</v>
      </c>
      <c r="D149">
        <v>8</v>
      </c>
      <c r="E149" t="s">
        <v>33</v>
      </c>
      <c r="F149" t="s">
        <v>36</v>
      </c>
      <c r="G149">
        <v>11.6</v>
      </c>
      <c r="H149" t="s">
        <v>18</v>
      </c>
      <c r="I149">
        <v>37.200000000000003</v>
      </c>
      <c r="J149">
        <v>7.6</v>
      </c>
      <c r="K149">
        <v>13</v>
      </c>
      <c r="L149" t="s">
        <v>19</v>
      </c>
      <c r="M149" t="str">
        <f t="shared" si="6"/>
        <v>Anemic</v>
      </c>
      <c r="N149" t="str">
        <f t="shared" si="7"/>
        <v>Under 30</v>
      </c>
      <c r="O149" t="str">
        <f t="shared" si="8"/>
        <v>2025-07</v>
      </c>
      <c r="P149" s="9" t="str">
        <f>IF(ClinicData[[#This Row],[Sex]]= "Male", ClinicData[[#This Row],[Hb_g_dL]], "")</f>
        <v/>
      </c>
      <c r="Q149" s="8">
        <f>IF(ClinicData[[#This Row],[Sex]]="Female",ClinicData[[#This Row],[Hb_g_dL]], "")</f>
        <v>11.6</v>
      </c>
    </row>
    <row r="150" spans="1:17" x14ac:dyDescent="0.2">
      <c r="A150">
        <v>1149</v>
      </c>
      <c r="B150" s="2">
        <v>45979</v>
      </c>
      <c r="C150" t="s">
        <v>22</v>
      </c>
      <c r="D150">
        <v>28</v>
      </c>
      <c r="E150" t="s">
        <v>28</v>
      </c>
      <c r="F150" t="s">
        <v>32</v>
      </c>
      <c r="G150">
        <v>12.8</v>
      </c>
      <c r="H150" t="s">
        <v>18</v>
      </c>
      <c r="I150">
        <v>37.4</v>
      </c>
      <c r="J150">
        <v>9.3000000000000007</v>
      </c>
      <c r="K150">
        <v>0</v>
      </c>
      <c r="L150" t="s">
        <v>19</v>
      </c>
      <c r="M150" t="str">
        <f t="shared" si="6"/>
        <v>Normal</v>
      </c>
      <c r="N150" t="str">
        <f t="shared" si="7"/>
        <v>Under 30</v>
      </c>
      <c r="O150" t="str">
        <f t="shared" si="8"/>
        <v>2025-11</v>
      </c>
      <c r="P150" s="9">
        <f>IF(ClinicData[[#This Row],[Sex]]= "Male", ClinicData[[#This Row],[Hb_g_dL]], "")</f>
        <v>12.8</v>
      </c>
      <c r="Q150" s="8" t="str">
        <f>IF(ClinicData[[#This Row],[Sex]]="Female",ClinicData[[#This Row],[Hb_g_dL]], "")</f>
        <v/>
      </c>
    </row>
    <row r="151" spans="1:17" x14ac:dyDescent="0.2">
      <c r="A151">
        <v>1150</v>
      </c>
      <c r="B151" s="2">
        <v>45796</v>
      </c>
      <c r="C151" t="s">
        <v>15</v>
      </c>
      <c r="D151">
        <v>32</v>
      </c>
      <c r="E151" t="s">
        <v>16</v>
      </c>
      <c r="F151" t="s">
        <v>35</v>
      </c>
      <c r="G151">
        <v>11.3</v>
      </c>
      <c r="H151" t="s">
        <v>18</v>
      </c>
      <c r="I151">
        <v>37.4</v>
      </c>
      <c r="J151">
        <v>10.9</v>
      </c>
      <c r="K151">
        <v>2</v>
      </c>
      <c r="L151" t="s">
        <v>27</v>
      </c>
      <c r="M151" t="str">
        <f t="shared" si="6"/>
        <v>Anemic</v>
      </c>
      <c r="N151" t="str">
        <f t="shared" si="7"/>
        <v>30 and Above</v>
      </c>
      <c r="O151" t="str">
        <f t="shared" si="8"/>
        <v>2025-05</v>
      </c>
      <c r="P151" s="9" t="str">
        <f>IF(ClinicData[[#This Row],[Sex]]= "Male", ClinicData[[#This Row],[Hb_g_dL]], "")</f>
        <v/>
      </c>
      <c r="Q151" s="8">
        <f>IF(ClinicData[[#This Row],[Sex]]="Female",ClinicData[[#This Row],[Hb_g_dL]], "")</f>
        <v>11.3</v>
      </c>
    </row>
    <row r="152" spans="1:17" x14ac:dyDescent="0.2">
      <c r="A152">
        <v>1151</v>
      </c>
      <c r="B152" s="2">
        <v>46000</v>
      </c>
      <c r="C152" t="s">
        <v>15</v>
      </c>
      <c r="D152">
        <v>32</v>
      </c>
      <c r="E152" t="s">
        <v>25</v>
      </c>
      <c r="F152" t="s">
        <v>36</v>
      </c>
      <c r="G152">
        <v>11.8</v>
      </c>
      <c r="H152" t="s">
        <v>18</v>
      </c>
      <c r="I152">
        <v>37</v>
      </c>
      <c r="J152">
        <v>9.1</v>
      </c>
      <c r="K152">
        <v>4</v>
      </c>
      <c r="L152" t="s">
        <v>19</v>
      </c>
      <c r="M152" t="str">
        <f t="shared" si="6"/>
        <v>Anemic</v>
      </c>
      <c r="N152" t="str">
        <f t="shared" si="7"/>
        <v>30 and Above</v>
      </c>
      <c r="O152" t="str">
        <f t="shared" si="8"/>
        <v>2025-12</v>
      </c>
      <c r="P152" s="9" t="str">
        <f>IF(ClinicData[[#This Row],[Sex]]= "Male", ClinicData[[#This Row],[Hb_g_dL]], "")</f>
        <v/>
      </c>
      <c r="Q152" s="8">
        <f>IF(ClinicData[[#This Row],[Sex]]="Female",ClinicData[[#This Row],[Hb_g_dL]], "")</f>
        <v>11.8</v>
      </c>
    </row>
    <row r="153" spans="1:17" x14ac:dyDescent="0.2">
      <c r="A153">
        <v>1152</v>
      </c>
      <c r="B153" s="2">
        <v>45741</v>
      </c>
      <c r="C153" t="s">
        <v>22</v>
      </c>
      <c r="D153">
        <v>20</v>
      </c>
      <c r="E153" t="s">
        <v>16</v>
      </c>
      <c r="F153" t="s">
        <v>32</v>
      </c>
      <c r="G153">
        <v>17.7</v>
      </c>
      <c r="H153" t="s">
        <v>18</v>
      </c>
      <c r="I153">
        <v>37</v>
      </c>
      <c r="J153">
        <v>7.6</v>
      </c>
      <c r="K153">
        <v>2</v>
      </c>
      <c r="L153" t="s">
        <v>19</v>
      </c>
      <c r="M153" t="str">
        <f t="shared" si="6"/>
        <v>Normal</v>
      </c>
      <c r="N153" t="str">
        <f t="shared" si="7"/>
        <v>Under 30</v>
      </c>
      <c r="O153" t="str">
        <f t="shared" si="8"/>
        <v>2025-03</v>
      </c>
      <c r="P153" s="9">
        <f>IF(ClinicData[[#This Row],[Sex]]= "Male", ClinicData[[#This Row],[Hb_g_dL]], "")</f>
        <v>17.7</v>
      </c>
      <c r="Q153" s="8" t="str">
        <f>IF(ClinicData[[#This Row],[Sex]]="Female",ClinicData[[#This Row],[Hb_g_dL]], "")</f>
        <v/>
      </c>
    </row>
    <row r="154" spans="1:17" x14ac:dyDescent="0.2">
      <c r="A154">
        <v>1153</v>
      </c>
      <c r="B154" s="2">
        <v>45842</v>
      </c>
      <c r="C154" t="s">
        <v>22</v>
      </c>
      <c r="D154">
        <v>32</v>
      </c>
      <c r="E154" t="s">
        <v>16</v>
      </c>
      <c r="F154" t="s">
        <v>26</v>
      </c>
      <c r="G154">
        <v>15.6</v>
      </c>
      <c r="H154" t="s">
        <v>18</v>
      </c>
      <c r="I154">
        <v>36.9</v>
      </c>
      <c r="J154">
        <v>6.1</v>
      </c>
      <c r="K154">
        <v>0</v>
      </c>
      <c r="L154" t="s">
        <v>21</v>
      </c>
      <c r="M154" t="str">
        <f t="shared" si="6"/>
        <v>Normal</v>
      </c>
      <c r="N154" t="str">
        <f t="shared" si="7"/>
        <v>30 and Above</v>
      </c>
      <c r="O154" t="str">
        <f t="shared" si="8"/>
        <v>2025-07</v>
      </c>
      <c r="P154" s="9">
        <f>IF(ClinicData[[#This Row],[Sex]]= "Male", ClinicData[[#This Row],[Hb_g_dL]], "")</f>
        <v>15.6</v>
      </c>
      <c r="Q154" s="8" t="str">
        <f>IF(ClinicData[[#This Row],[Sex]]="Female",ClinicData[[#This Row],[Hb_g_dL]], "")</f>
        <v/>
      </c>
    </row>
    <row r="155" spans="1:17" x14ac:dyDescent="0.2">
      <c r="A155">
        <v>1154</v>
      </c>
      <c r="B155" s="2">
        <v>45969</v>
      </c>
      <c r="C155" t="s">
        <v>15</v>
      </c>
      <c r="D155">
        <v>31</v>
      </c>
      <c r="E155" t="s">
        <v>25</v>
      </c>
      <c r="F155" t="s">
        <v>17</v>
      </c>
      <c r="G155">
        <v>13.1</v>
      </c>
      <c r="H155" t="s">
        <v>18</v>
      </c>
      <c r="I155">
        <v>37</v>
      </c>
      <c r="J155">
        <v>7.8</v>
      </c>
      <c r="K155">
        <v>9</v>
      </c>
      <c r="L155" t="s">
        <v>21</v>
      </c>
      <c r="M155" t="str">
        <f t="shared" si="6"/>
        <v>Normal</v>
      </c>
      <c r="N155" t="str">
        <f t="shared" si="7"/>
        <v>30 and Above</v>
      </c>
      <c r="O155" t="str">
        <f t="shared" si="8"/>
        <v>2025-11</v>
      </c>
      <c r="P155" s="9" t="str">
        <f>IF(ClinicData[[#This Row],[Sex]]= "Male", ClinicData[[#This Row],[Hb_g_dL]], "")</f>
        <v/>
      </c>
      <c r="Q155" s="8">
        <f>IF(ClinicData[[#This Row],[Sex]]="Female",ClinicData[[#This Row],[Hb_g_dL]], "")</f>
        <v>13.1</v>
      </c>
    </row>
    <row r="156" spans="1:17" x14ac:dyDescent="0.2">
      <c r="A156">
        <v>1155</v>
      </c>
      <c r="B156" s="2">
        <v>45686</v>
      </c>
      <c r="C156" t="s">
        <v>22</v>
      </c>
      <c r="D156">
        <v>25</v>
      </c>
      <c r="E156" t="s">
        <v>30</v>
      </c>
      <c r="F156" t="s">
        <v>26</v>
      </c>
      <c r="G156">
        <v>14.8</v>
      </c>
      <c r="H156" t="s">
        <v>31</v>
      </c>
      <c r="I156">
        <v>38.6</v>
      </c>
      <c r="J156">
        <v>9.9</v>
      </c>
      <c r="K156">
        <v>4</v>
      </c>
      <c r="L156" t="s">
        <v>21</v>
      </c>
      <c r="M156" t="str">
        <f t="shared" si="6"/>
        <v>Normal</v>
      </c>
      <c r="N156" t="str">
        <f t="shared" si="7"/>
        <v>Under 30</v>
      </c>
      <c r="O156" t="str">
        <f t="shared" si="8"/>
        <v>2025-01</v>
      </c>
      <c r="P156" s="9">
        <f>IF(ClinicData[[#This Row],[Sex]]= "Male", ClinicData[[#This Row],[Hb_g_dL]], "")</f>
        <v>14.8</v>
      </c>
      <c r="Q156" s="8" t="str">
        <f>IF(ClinicData[[#This Row],[Sex]]="Female",ClinicData[[#This Row],[Hb_g_dL]], "")</f>
        <v/>
      </c>
    </row>
    <row r="157" spans="1:17" x14ac:dyDescent="0.2">
      <c r="A157">
        <v>1156</v>
      </c>
      <c r="B157" s="2">
        <v>45845</v>
      </c>
      <c r="C157" t="s">
        <v>22</v>
      </c>
      <c r="D157">
        <v>16</v>
      </c>
      <c r="E157" t="s">
        <v>28</v>
      </c>
      <c r="F157" t="s">
        <v>36</v>
      </c>
      <c r="G157">
        <v>12.4</v>
      </c>
      <c r="H157" t="s">
        <v>18</v>
      </c>
      <c r="I157">
        <v>37.5</v>
      </c>
      <c r="J157">
        <v>8.4</v>
      </c>
      <c r="K157">
        <v>0</v>
      </c>
      <c r="L157" t="s">
        <v>21</v>
      </c>
      <c r="M157" t="str">
        <f t="shared" si="6"/>
        <v>Normal</v>
      </c>
      <c r="N157" t="str">
        <f t="shared" si="7"/>
        <v>Under 30</v>
      </c>
      <c r="O157" t="str">
        <f t="shared" si="8"/>
        <v>2025-07</v>
      </c>
      <c r="P157" s="9">
        <f>IF(ClinicData[[#This Row],[Sex]]= "Male", ClinicData[[#This Row],[Hb_g_dL]], "")</f>
        <v>12.4</v>
      </c>
      <c r="Q157" s="8" t="str">
        <f>IF(ClinicData[[#This Row],[Sex]]="Female",ClinicData[[#This Row],[Hb_g_dL]], "")</f>
        <v/>
      </c>
    </row>
    <row r="158" spans="1:17" x14ac:dyDescent="0.2">
      <c r="A158">
        <v>1157</v>
      </c>
      <c r="B158" s="2">
        <v>45822</v>
      </c>
      <c r="C158" t="s">
        <v>15</v>
      </c>
      <c r="D158">
        <v>16</v>
      </c>
      <c r="E158" t="s">
        <v>16</v>
      </c>
      <c r="F158" t="s">
        <v>26</v>
      </c>
      <c r="G158">
        <v>10.9</v>
      </c>
      <c r="H158" t="s">
        <v>18</v>
      </c>
      <c r="I158">
        <v>36.9</v>
      </c>
      <c r="J158">
        <v>7.7</v>
      </c>
      <c r="K158">
        <v>2</v>
      </c>
      <c r="L158" t="s">
        <v>19</v>
      </c>
      <c r="M158" t="str">
        <f t="shared" si="6"/>
        <v>Anemic</v>
      </c>
      <c r="N158" t="str">
        <f t="shared" si="7"/>
        <v>Under 30</v>
      </c>
      <c r="O158" t="str">
        <f t="shared" si="8"/>
        <v>2025-06</v>
      </c>
      <c r="P158" s="9" t="str">
        <f>IF(ClinicData[[#This Row],[Sex]]= "Male", ClinicData[[#This Row],[Hb_g_dL]], "")</f>
        <v/>
      </c>
      <c r="Q158" s="8">
        <f>IF(ClinicData[[#This Row],[Sex]]="Female",ClinicData[[#This Row],[Hb_g_dL]], "")</f>
        <v>10.9</v>
      </c>
    </row>
    <row r="159" spans="1:17" x14ac:dyDescent="0.2">
      <c r="A159">
        <v>1158</v>
      </c>
      <c r="B159" s="2">
        <v>45782</v>
      </c>
      <c r="C159" t="s">
        <v>15</v>
      </c>
      <c r="D159">
        <v>31</v>
      </c>
      <c r="E159" t="s">
        <v>16</v>
      </c>
      <c r="F159" t="s">
        <v>32</v>
      </c>
      <c r="G159">
        <v>12.6</v>
      </c>
      <c r="H159" t="s">
        <v>31</v>
      </c>
      <c r="I159">
        <v>37.9</v>
      </c>
      <c r="J159">
        <v>6.1</v>
      </c>
      <c r="K159">
        <v>0</v>
      </c>
      <c r="L159" t="s">
        <v>21</v>
      </c>
      <c r="M159" t="str">
        <f t="shared" si="6"/>
        <v>Normal</v>
      </c>
      <c r="N159" t="str">
        <f t="shared" si="7"/>
        <v>30 and Above</v>
      </c>
      <c r="O159" t="str">
        <f t="shared" si="8"/>
        <v>2025-05</v>
      </c>
      <c r="P159" s="9" t="str">
        <f>IF(ClinicData[[#This Row],[Sex]]= "Male", ClinicData[[#This Row],[Hb_g_dL]], "")</f>
        <v/>
      </c>
      <c r="Q159" s="8">
        <f>IF(ClinicData[[#This Row],[Sex]]="Female",ClinicData[[#This Row],[Hb_g_dL]], "")</f>
        <v>12.6</v>
      </c>
    </row>
    <row r="160" spans="1:17" x14ac:dyDescent="0.2">
      <c r="A160">
        <v>1159</v>
      </c>
      <c r="B160" s="2">
        <v>45984</v>
      </c>
      <c r="C160" t="s">
        <v>15</v>
      </c>
      <c r="D160">
        <v>27</v>
      </c>
      <c r="E160" t="s">
        <v>37</v>
      </c>
      <c r="F160" t="s">
        <v>29</v>
      </c>
      <c r="G160">
        <v>8.6</v>
      </c>
      <c r="H160" t="s">
        <v>31</v>
      </c>
      <c r="I160">
        <v>37.5</v>
      </c>
      <c r="J160">
        <v>7.5</v>
      </c>
      <c r="K160">
        <v>2</v>
      </c>
      <c r="L160" t="s">
        <v>27</v>
      </c>
      <c r="M160" t="str">
        <f t="shared" si="6"/>
        <v>Anemic</v>
      </c>
      <c r="N160" t="str">
        <f t="shared" si="7"/>
        <v>Under 30</v>
      </c>
      <c r="O160" t="str">
        <f t="shared" si="8"/>
        <v>2025-11</v>
      </c>
      <c r="P160" s="9" t="str">
        <f>IF(ClinicData[[#This Row],[Sex]]= "Male", ClinicData[[#This Row],[Hb_g_dL]], "")</f>
        <v/>
      </c>
      <c r="Q160" s="8">
        <f>IF(ClinicData[[#This Row],[Sex]]="Female",ClinicData[[#This Row],[Hb_g_dL]], "")</f>
        <v>8.6</v>
      </c>
    </row>
    <row r="161" spans="1:17" x14ac:dyDescent="0.2">
      <c r="A161">
        <v>1160</v>
      </c>
      <c r="B161" s="2">
        <v>45935</v>
      </c>
      <c r="C161" t="s">
        <v>15</v>
      </c>
      <c r="D161">
        <v>38</v>
      </c>
      <c r="E161" t="s">
        <v>25</v>
      </c>
      <c r="F161" t="s">
        <v>26</v>
      </c>
      <c r="G161">
        <v>14</v>
      </c>
      <c r="H161" t="s">
        <v>18</v>
      </c>
      <c r="I161">
        <v>37.6</v>
      </c>
      <c r="J161">
        <v>6.7</v>
      </c>
      <c r="K161">
        <v>7</v>
      </c>
      <c r="L161" t="s">
        <v>19</v>
      </c>
      <c r="M161" t="str">
        <f t="shared" si="6"/>
        <v>Normal</v>
      </c>
      <c r="N161" t="str">
        <f t="shared" si="7"/>
        <v>30 and Above</v>
      </c>
      <c r="O161" t="str">
        <f t="shared" si="8"/>
        <v>2025-10</v>
      </c>
      <c r="P161" s="9" t="str">
        <f>IF(ClinicData[[#This Row],[Sex]]= "Male", ClinicData[[#This Row],[Hb_g_dL]], "")</f>
        <v/>
      </c>
      <c r="Q161" s="8">
        <f>IF(ClinicData[[#This Row],[Sex]]="Female",ClinicData[[#This Row],[Hb_g_dL]], "")</f>
        <v>14</v>
      </c>
    </row>
    <row r="162" spans="1:17" x14ac:dyDescent="0.2">
      <c r="A162">
        <v>1161</v>
      </c>
      <c r="B162" s="2">
        <v>45676</v>
      </c>
      <c r="C162" t="s">
        <v>22</v>
      </c>
      <c r="D162">
        <v>30</v>
      </c>
      <c r="E162" t="s">
        <v>16</v>
      </c>
      <c r="F162" t="s">
        <v>35</v>
      </c>
      <c r="G162">
        <v>12.4</v>
      </c>
      <c r="H162" t="s">
        <v>18</v>
      </c>
      <c r="I162">
        <v>38.1</v>
      </c>
      <c r="J162">
        <v>8.1999999999999993</v>
      </c>
      <c r="K162">
        <v>1</v>
      </c>
      <c r="L162" t="s">
        <v>21</v>
      </c>
      <c r="M162" t="str">
        <f t="shared" si="6"/>
        <v>Normal</v>
      </c>
      <c r="N162" t="str">
        <f t="shared" si="7"/>
        <v>30 and Above</v>
      </c>
      <c r="O162" t="str">
        <f t="shared" si="8"/>
        <v>2025-01</v>
      </c>
      <c r="P162" s="9">
        <f>IF(ClinicData[[#This Row],[Sex]]= "Male", ClinicData[[#This Row],[Hb_g_dL]], "")</f>
        <v>12.4</v>
      </c>
      <c r="Q162" s="8" t="str">
        <f>IF(ClinicData[[#This Row],[Sex]]="Female",ClinicData[[#This Row],[Hb_g_dL]], "")</f>
        <v/>
      </c>
    </row>
    <row r="163" spans="1:17" x14ac:dyDescent="0.2">
      <c r="A163">
        <v>1162</v>
      </c>
      <c r="B163" s="2">
        <v>45945</v>
      </c>
      <c r="C163" t="s">
        <v>22</v>
      </c>
      <c r="D163">
        <v>56</v>
      </c>
      <c r="E163" t="s">
        <v>16</v>
      </c>
      <c r="F163" t="s">
        <v>35</v>
      </c>
      <c r="G163">
        <v>12.8</v>
      </c>
      <c r="H163" t="s">
        <v>18</v>
      </c>
      <c r="I163">
        <v>36.5</v>
      </c>
      <c r="J163">
        <v>10.7</v>
      </c>
      <c r="K163">
        <v>0</v>
      </c>
      <c r="L163" t="s">
        <v>19</v>
      </c>
      <c r="M163" t="str">
        <f t="shared" si="6"/>
        <v>Normal</v>
      </c>
      <c r="N163" t="str">
        <f t="shared" si="7"/>
        <v>30 and Above</v>
      </c>
      <c r="O163" t="str">
        <f t="shared" si="8"/>
        <v>2025-10</v>
      </c>
      <c r="P163" s="9">
        <f>IF(ClinicData[[#This Row],[Sex]]= "Male", ClinicData[[#This Row],[Hb_g_dL]], "")</f>
        <v>12.8</v>
      </c>
      <c r="Q163" s="8" t="str">
        <f>IF(ClinicData[[#This Row],[Sex]]="Female",ClinicData[[#This Row],[Hb_g_dL]], "")</f>
        <v/>
      </c>
    </row>
    <row r="164" spans="1:17" x14ac:dyDescent="0.2">
      <c r="A164">
        <v>1163</v>
      </c>
      <c r="B164" s="2">
        <v>45760</v>
      </c>
      <c r="C164" t="s">
        <v>22</v>
      </c>
      <c r="D164">
        <v>3</v>
      </c>
      <c r="E164" t="s">
        <v>28</v>
      </c>
      <c r="F164" t="s">
        <v>35</v>
      </c>
      <c r="G164">
        <v>13.3</v>
      </c>
      <c r="H164" t="s">
        <v>18</v>
      </c>
      <c r="I164">
        <v>37.1</v>
      </c>
      <c r="J164">
        <v>14.6</v>
      </c>
      <c r="K164">
        <v>0</v>
      </c>
      <c r="L164" t="s">
        <v>19</v>
      </c>
      <c r="M164" t="str">
        <f t="shared" si="6"/>
        <v>Normal</v>
      </c>
      <c r="N164" t="str">
        <f t="shared" si="7"/>
        <v>Under 30</v>
      </c>
      <c r="O164" t="str">
        <f t="shared" si="8"/>
        <v>2025-04</v>
      </c>
      <c r="P164" s="9">
        <f>IF(ClinicData[[#This Row],[Sex]]= "Male", ClinicData[[#This Row],[Hb_g_dL]], "")</f>
        <v>13.3</v>
      </c>
      <c r="Q164" s="8" t="str">
        <f>IF(ClinicData[[#This Row],[Sex]]="Female",ClinicData[[#This Row],[Hb_g_dL]], "")</f>
        <v/>
      </c>
    </row>
    <row r="165" spans="1:17" x14ac:dyDescent="0.2">
      <c r="A165">
        <v>1164</v>
      </c>
      <c r="B165" s="2">
        <v>45986</v>
      </c>
      <c r="C165" t="s">
        <v>15</v>
      </c>
      <c r="D165">
        <v>24</v>
      </c>
      <c r="E165" t="s">
        <v>23</v>
      </c>
      <c r="F165" t="s">
        <v>17</v>
      </c>
      <c r="G165">
        <v>13.1</v>
      </c>
      <c r="H165" t="s">
        <v>18</v>
      </c>
      <c r="I165">
        <v>37.1</v>
      </c>
      <c r="J165">
        <v>7.8</v>
      </c>
      <c r="K165">
        <v>4</v>
      </c>
      <c r="L165" t="s">
        <v>19</v>
      </c>
      <c r="M165" t="str">
        <f t="shared" si="6"/>
        <v>Normal</v>
      </c>
      <c r="N165" t="str">
        <f t="shared" si="7"/>
        <v>Under 30</v>
      </c>
      <c r="O165" t="str">
        <f t="shared" si="8"/>
        <v>2025-11</v>
      </c>
      <c r="P165" s="9" t="str">
        <f>IF(ClinicData[[#This Row],[Sex]]= "Male", ClinicData[[#This Row],[Hb_g_dL]], "")</f>
        <v/>
      </c>
      <c r="Q165" s="8">
        <f>IF(ClinicData[[#This Row],[Sex]]="Female",ClinicData[[#This Row],[Hb_g_dL]], "")</f>
        <v>13.1</v>
      </c>
    </row>
    <row r="166" spans="1:17" x14ac:dyDescent="0.2">
      <c r="A166">
        <v>1165</v>
      </c>
      <c r="B166" s="2">
        <v>45814</v>
      </c>
      <c r="C166" t="s">
        <v>22</v>
      </c>
      <c r="D166">
        <v>1</v>
      </c>
      <c r="E166" t="s">
        <v>23</v>
      </c>
      <c r="F166" t="s">
        <v>36</v>
      </c>
      <c r="G166">
        <v>13.9</v>
      </c>
      <c r="H166" t="s">
        <v>18</v>
      </c>
      <c r="I166">
        <v>36.9</v>
      </c>
      <c r="J166">
        <v>9.9</v>
      </c>
      <c r="K166">
        <v>9</v>
      </c>
      <c r="L166" t="s">
        <v>19</v>
      </c>
      <c r="M166" t="str">
        <f t="shared" si="6"/>
        <v>Normal</v>
      </c>
      <c r="N166" t="str">
        <f t="shared" si="7"/>
        <v>Under 30</v>
      </c>
      <c r="O166" t="str">
        <f t="shared" si="8"/>
        <v>2025-06</v>
      </c>
      <c r="P166" s="9">
        <f>IF(ClinicData[[#This Row],[Sex]]= "Male", ClinicData[[#This Row],[Hb_g_dL]], "")</f>
        <v>13.9</v>
      </c>
      <c r="Q166" s="8" t="str">
        <f>IF(ClinicData[[#This Row],[Sex]]="Female",ClinicData[[#This Row],[Hb_g_dL]], "")</f>
        <v/>
      </c>
    </row>
    <row r="167" spans="1:17" x14ac:dyDescent="0.2">
      <c r="A167">
        <v>1166</v>
      </c>
      <c r="B167" s="2">
        <v>45919</v>
      </c>
      <c r="C167" t="s">
        <v>22</v>
      </c>
      <c r="D167">
        <v>20</v>
      </c>
      <c r="E167" t="s">
        <v>16</v>
      </c>
      <c r="F167" t="s">
        <v>26</v>
      </c>
      <c r="G167">
        <v>14.4</v>
      </c>
      <c r="H167" t="s">
        <v>18</v>
      </c>
      <c r="I167">
        <v>37.4</v>
      </c>
      <c r="J167">
        <v>4.9000000000000004</v>
      </c>
      <c r="K167">
        <v>2</v>
      </c>
      <c r="L167" t="s">
        <v>19</v>
      </c>
      <c r="M167" t="str">
        <f t="shared" si="6"/>
        <v>Normal</v>
      </c>
      <c r="N167" t="str">
        <f t="shared" si="7"/>
        <v>Under 30</v>
      </c>
      <c r="O167" t="str">
        <f t="shared" si="8"/>
        <v>2025-09</v>
      </c>
      <c r="P167" s="9">
        <f>IF(ClinicData[[#This Row],[Sex]]= "Male", ClinicData[[#This Row],[Hb_g_dL]], "")</f>
        <v>14.4</v>
      </c>
      <c r="Q167" s="8" t="str">
        <f>IF(ClinicData[[#This Row],[Sex]]="Female",ClinicData[[#This Row],[Hb_g_dL]], "")</f>
        <v/>
      </c>
    </row>
    <row r="168" spans="1:17" x14ac:dyDescent="0.2">
      <c r="A168">
        <v>1167</v>
      </c>
      <c r="B168" s="2">
        <v>45855</v>
      </c>
      <c r="C168" t="s">
        <v>22</v>
      </c>
      <c r="D168">
        <v>16</v>
      </c>
      <c r="E168" t="s">
        <v>23</v>
      </c>
      <c r="F168" t="s">
        <v>24</v>
      </c>
      <c r="G168">
        <v>14.2</v>
      </c>
      <c r="H168" t="s">
        <v>18</v>
      </c>
      <c r="I168">
        <v>37</v>
      </c>
      <c r="J168">
        <v>10.3</v>
      </c>
      <c r="K168">
        <v>9</v>
      </c>
      <c r="L168" t="s">
        <v>27</v>
      </c>
      <c r="M168" t="str">
        <f t="shared" si="6"/>
        <v>Normal</v>
      </c>
      <c r="N168" t="str">
        <f t="shared" si="7"/>
        <v>Under 30</v>
      </c>
      <c r="O168" t="str">
        <f t="shared" si="8"/>
        <v>2025-07</v>
      </c>
      <c r="P168" s="9">
        <f>IF(ClinicData[[#This Row],[Sex]]= "Male", ClinicData[[#This Row],[Hb_g_dL]], "")</f>
        <v>14.2</v>
      </c>
      <c r="Q168" s="8" t="str">
        <f>IF(ClinicData[[#This Row],[Sex]]="Female",ClinicData[[#This Row],[Hb_g_dL]], "")</f>
        <v/>
      </c>
    </row>
    <row r="169" spans="1:17" x14ac:dyDescent="0.2">
      <c r="A169">
        <v>1168</v>
      </c>
      <c r="B169" s="2">
        <v>45860</v>
      </c>
      <c r="C169" t="s">
        <v>22</v>
      </c>
      <c r="D169">
        <v>34</v>
      </c>
      <c r="E169" t="s">
        <v>23</v>
      </c>
      <c r="F169" t="s">
        <v>24</v>
      </c>
      <c r="G169">
        <v>12.9</v>
      </c>
      <c r="H169" t="s">
        <v>18</v>
      </c>
      <c r="I169">
        <v>37.5</v>
      </c>
      <c r="J169">
        <v>8.6</v>
      </c>
      <c r="K169">
        <v>1</v>
      </c>
      <c r="L169" t="s">
        <v>19</v>
      </c>
      <c r="M169" t="str">
        <f t="shared" si="6"/>
        <v>Normal</v>
      </c>
      <c r="N169" t="str">
        <f t="shared" si="7"/>
        <v>30 and Above</v>
      </c>
      <c r="O169" t="str">
        <f t="shared" si="8"/>
        <v>2025-07</v>
      </c>
      <c r="P169" s="9">
        <f>IF(ClinicData[[#This Row],[Sex]]= "Male", ClinicData[[#This Row],[Hb_g_dL]], "")</f>
        <v>12.9</v>
      </c>
      <c r="Q169" s="8" t="str">
        <f>IF(ClinicData[[#This Row],[Sex]]="Female",ClinicData[[#This Row],[Hb_g_dL]], "")</f>
        <v/>
      </c>
    </row>
    <row r="170" spans="1:17" x14ac:dyDescent="0.2">
      <c r="A170">
        <v>1169</v>
      </c>
      <c r="B170" s="2">
        <v>45836</v>
      </c>
      <c r="C170" t="s">
        <v>22</v>
      </c>
      <c r="D170">
        <v>7</v>
      </c>
      <c r="E170" t="s">
        <v>37</v>
      </c>
      <c r="F170" t="s">
        <v>35</v>
      </c>
      <c r="G170">
        <v>9.1999999999999993</v>
      </c>
      <c r="H170" t="s">
        <v>18</v>
      </c>
      <c r="I170">
        <v>36.799999999999997</v>
      </c>
      <c r="J170">
        <v>6.4</v>
      </c>
      <c r="K170">
        <v>7</v>
      </c>
      <c r="L170" t="s">
        <v>19</v>
      </c>
      <c r="M170" t="str">
        <f t="shared" si="6"/>
        <v>Anemic</v>
      </c>
      <c r="N170" t="str">
        <f t="shared" si="7"/>
        <v>Under 30</v>
      </c>
      <c r="O170" t="str">
        <f t="shared" si="8"/>
        <v>2025-06</v>
      </c>
      <c r="P170" s="9">
        <f>IF(ClinicData[[#This Row],[Sex]]= "Male", ClinicData[[#This Row],[Hb_g_dL]], "")</f>
        <v>9.1999999999999993</v>
      </c>
      <c r="Q170" s="8" t="str">
        <f>IF(ClinicData[[#This Row],[Sex]]="Female",ClinicData[[#This Row],[Hb_g_dL]], "")</f>
        <v/>
      </c>
    </row>
    <row r="171" spans="1:17" x14ac:dyDescent="0.2">
      <c r="A171">
        <v>1170</v>
      </c>
      <c r="B171" s="2">
        <v>46003</v>
      </c>
      <c r="C171" t="s">
        <v>22</v>
      </c>
      <c r="D171">
        <v>16</v>
      </c>
      <c r="E171" t="s">
        <v>16</v>
      </c>
      <c r="F171" t="s">
        <v>32</v>
      </c>
      <c r="G171">
        <v>14.6</v>
      </c>
      <c r="H171" t="s">
        <v>31</v>
      </c>
      <c r="I171">
        <v>36.9</v>
      </c>
      <c r="J171">
        <v>7.1</v>
      </c>
      <c r="K171">
        <v>2</v>
      </c>
      <c r="L171" t="s">
        <v>27</v>
      </c>
      <c r="M171" t="str">
        <f t="shared" si="6"/>
        <v>Normal</v>
      </c>
      <c r="N171" t="str">
        <f t="shared" si="7"/>
        <v>Under 30</v>
      </c>
      <c r="O171" t="str">
        <f t="shared" si="8"/>
        <v>2025-12</v>
      </c>
      <c r="P171" s="9">
        <f>IF(ClinicData[[#This Row],[Sex]]= "Male", ClinicData[[#This Row],[Hb_g_dL]], "")</f>
        <v>14.6</v>
      </c>
      <c r="Q171" s="8" t="str">
        <f>IF(ClinicData[[#This Row],[Sex]]="Female",ClinicData[[#This Row],[Hb_g_dL]], "")</f>
        <v/>
      </c>
    </row>
    <row r="172" spans="1:17" x14ac:dyDescent="0.2">
      <c r="A172">
        <v>1171</v>
      </c>
      <c r="B172" s="2">
        <v>45723</v>
      </c>
      <c r="C172" t="s">
        <v>22</v>
      </c>
      <c r="D172">
        <v>7</v>
      </c>
      <c r="E172" t="s">
        <v>25</v>
      </c>
      <c r="F172" t="s">
        <v>17</v>
      </c>
      <c r="G172">
        <v>15.8</v>
      </c>
      <c r="H172" t="s">
        <v>18</v>
      </c>
      <c r="I172">
        <v>37.799999999999997</v>
      </c>
      <c r="J172">
        <v>6.8</v>
      </c>
      <c r="K172">
        <v>7</v>
      </c>
      <c r="L172" t="s">
        <v>19</v>
      </c>
      <c r="M172" t="str">
        <f t="shared" si="6"/>
        <v>Normal</v>
      </c>
      <c r="N172" t="str">
        <f t="shared" si="7"/>
        <v>Under 30</v>
      </c>
      <c r="O172" t="str">
        <f t="shared" si="8"/>
        <v>2025-03</v>
      </c>
      <c r="P172" s="9">
        <f>IF(ClinicData[[#This Row],[Sex]]= "Male", ClinicData[[#This Row],[Hb_g_dL]], "")</f>
        <v>15.8</v>
      </c>
      <c r="Q172" s="8" t="str">
        <f>IF(ClinicData[[#This Row],[Sex]]="Female",ClinicData[[#This Row],[Hb_g_dL]], "")</f>
        <v/>
      </c>
    </row>
    <row r="173" spans="1:17" x14ac:dyDescent="0.2">
      <c r="A173">
        <v>1172</v>
      </c>
      <c r="B173" s="2">
        <v>45976</v>
      </c>
      <c r="C173" t="s">
        <v>15</v>
      </c>
      <c r="D173">
        <v>16</v>
      </c>
      <c r="E173" t="s">
        <v>25</v>
      </c>
      <c r="F173" t="s">
        <v>20</v>
      </c>
      <c r="G173">
        <v>12.9</v>
      </c>
      <c r="H173" t="s">
        <v>18</v>
      </c>
      <c r="I173">
        <v>36.4</v>
      </c>
      <c r="J173">
        <v>6.8</v>
      </c>
      <c r="K173">
        <v>6</v>
      </c>
      <c r="L173" t="s">
        <v>21</v>
      </c>
      <c r="M173" t="str">
        <f t="shared" si="6"/>
        <v>Normal</v>
      </c>
      <c r="N173" t="str">
        <f t="shared" si="7"/>
        <v>Under 30</v>
      </c>
      <c r="O173" t="str">
        <f t="shared" si="8"/>
        <v>2025-11</v>
      </c>
      <c r="P173" s="9" t="str">
        <f>IF(ClinicData[[#This Row],[Sex]]= "Male", ClinicData[[#This Row],[Hb_g_dL]], "")</f>
        <v/>
      </c>
      <c r="Q173" s="8">
        <f>IF(ClinicData[[#This Row],[Sex]]="Female",ClinicData[[#This Row],[Hb_g_dL]], "")</f>
        <v>12.9</v>
      </c>
    </row>
    <row r="174" spans="1:17" x14ac:dyDescent="0.2">
      <c r="A174">
        <v>1173</v>
      </c>
      <c r="B174" s="2">
        <v>45913</v>
      </c>
      <c r="C174" t="s">
        <v>22</v>
      </c>
      <c r="D174">
        <v>16</v>
      </c>
      <c r="E174" t="s">
        <v>28</v>
      </c>
      <c r="F174" t="s">
        <v>35</v>
      </c>
      <c r="G174">
        <v>12</v>
      </c>
      <c r="H174" t="s">
        <v>31</v>
      </c>
      <c r="I174">
        <v>37.200000000000003</v>
      </c>
      <c r="J174">
        <v>13.8</v>
      </c>
      <c r="K174">
        <v>2</v>
      </c>
      <c r="L174" t="s">
        <v>21</v>
      </c>
      <c r="M174" t="str">
        <f t="shared" si="6"/>
        <v>Normal</v>
      </c>
      <c r="N174" t="str">
        <f t="shared" si="7"/>
        <v>Under 30</v>
      </c>
      <c r="O174" t="str">
        <f t="shared" si="8"/>
        <v>2025-09</v>
      </c>
      <c r="P174" s="9">
        <f>IF(ClinicData[[#This Row],[Sex]]= "Male", ClinicData[[#This Row],[Hb_g_dL]], "")</f>
        <v>12</v>
      </c>
      <c r="Q174" s="8" t="str">
        <f>IF(ClinicData[[#This Row],[Sex]]="Female",ClinicData[[#This Row],[Hb_g_dL]], "")</f>
        <v/>
      </c>
    </row>
    <row r="175" spans="1:17" x14ac:dyDescent="0.2">
      <c r="A175">
        <v>1174</v>
      </c>
      <c r="B175" s="2">
        <v>45824</v>
      </c>
      <c r="C175" t="s">
        <v>22</v>
      </c>
      <c r="D175">
        <v>30</v>
      </c>
      <c r="E175" t="s">
        <v>16</v>
      </c>
      <c r="F175" t="s">
        <v>24</v>
      </c>
      <c r="G175">
        <v>13.6</v>
      </c>
      <c r="H175" t="s">
        <v>18</v>
      </c>
      <c r="I175">
        <v>37.9</v>
      </c>
      <c r="J175">
        <v>6.9</v>
      </c>
      <c r="K175">
        <v>2</v>
      </c>
      <c r="L175" t="s">
        <v>21</v>
      </c>
      <c r="M175" t="str">
        <f t="shared" si="6"/>
        <v>Normal</v>
      </c>
      <c r="N175" t="str">
        <f t="shared" si="7"/>
        <v>30 and Above</v>
      </c>
      <c r="O175" t="str">
        <f t="shared" si="8"/>
        <v>2025-06</v>
      </c>
      <c r="P175" s="9">
        <f>IF(ClinicData[[#This Row],[Sex]]= "Male", ClinicData[[#This Row],[Hb_g_dL]], "")</f>
        <v>13.6</v>
      </c>
      <c r="Q175" s="8" t="str">
        <f>IF(ClinicData[[#This Row],[Sex]]="Female",ClinicData[[#This Row],[Hb_g_dL]], "")</f>
        <v/>
      </c>
    </row>
    <row r="176" spans="1:17" x14ac:dyDescent="0.2">
      <c r="A176">
        <v>1175</v>
      </c>
      <c r="B176" s="2">
        <v>45881</v>
      </c>
      <c r="C176" t="s">
        <v>22</v>
      </c>
      <c r="D176">
        <v>24</v>
      </c>
      <c r="E176" t="s">
        <v>28</v>
      </c>
      <c r="F176" t="s">
        <v>17</v>
      </c>
      <c r="G176">
        <v>12.3</v>
      </c>
      <c r="H176" t="s">
        <v>18</v>
      </c>
      <c r="I176">
        <v>37.9</v>
      </c>
      <c r="J176">
        <v>6.4</v>
      </c>
      <c r="K176">
        <v>2</v>
      </c>
      <c r="L176" t="s">
        <v>19</v>
      </c>
      <c r="M176" t="str">
        <f t="shared" si="6"/>
        <v>Normal</v>
      </c>
      <c r="N176" t="str">
        <f t="shared" si="7"/>
        <v>Under 30</v>
      </c>
      <c r="O176" t="str">
        <f t="shared" si="8"/>
        <v>2025-08</v>
      </c>
      <c r="P176" s="9">
        <f>IF(ClinicData[[#This Row],[Sex]]= "Male", ClinicData[[#This Row],[Hb_g_dL]], "")</f>
        <v>12.3</v>
      </c>
      <c r="Q176" s="8" t="str">
        <f>IF(ClinicData[[#This Row],[Sex]]="Female",ClinicData[[#This Row],[Hb_g_dL]], "")</f>
        <v/>
      </c>
    </row>
    <row r="177" spans="1:17" x14ac:dyDescent="0.2">
      <c r="A177">
        <v>1176</v>
      </c>
      <c r="B177" s="2">
        <v>45867</v>
      </c>
      <c r="C177" t="s">
        <v>22</v>
      </c>
      <c r="D177">
        <v>16</v>
      </c>
      <c r="E177" t="s">
        <v>37</v>
      </c>
      <c r="F177" t="s">
        <v>36</v>
      </c>
      <c r="G177">
        <v>13</v>
      </c>
      <c r="H177" t="s">
        <v>18</v>
      </c>
      <c r="I177">
        <v>36.200000000000003</v>
      </c>
      <c r="J177">
        <v>8.6</v>
      </c>
      <c r="K177">
        <v>10</v>
      </c>
      <c r="L177" t="s">
        <v>19</v>
      </c>
      <c r="M177" t="str">
        <f t="shared" si="6"/>
        <v>Normal</v>
      </c>
      <c r="N177" t="str">
        <f t="shared" si="7"/>
        <v>Under 30</v>
      </c>
      <c r="O177" t="str">
        <f t="shared" si="8"/>
        <v>2025-07</v>
      </c>
      <c r="P177" s="9">
        <f>IF(ClinicData[[#This Row],[Sex]]= "Male", ClinicData[[#This Row],[Hb_g_dL]], "")</f>
        <v>13</v>
      </c>
      <c r="Q177" s="8" t="str">
        <f>IF(ClinicData[[#This Row],[Sex]]="Female",ClinicData[[#This Row],[Hb_g_dL]], "")</f>
        <v/>
      </c>
    </row>
    <row r="178" spans="1:17" x14ac:dyDescent="0.2">
      <c r="A178">
        <v>1177</v>
      </c>
      <c r="B178" s="2">
        <v>46075</v>
      </c>
      <c r="C178" t="s">
        <v>22</v>
      </c>
      <c r="D178">
        <v>25</v>
      </c>
      <c r="E178" t="s">
        <v>28</v>
      </c>
      <c r="F178" t="s">
        <v>26</v>
      </c>
      <c r="G178">
        <v>14.1</v>
      </c>
      <c r="H178" t="s">
        <v>18</v>
      </c>
      <c r="I178">
        <v>36.799999999999997</v>
      </c>
      <c r="J178">
        <v>9.4</v>
      </c>
      <c r="K178">
        <v>2</v>
      </c>
      <c r="L178" t="s">
        <v>27</v>
      </c>
      <c r="M178" t="str">
        <f t="shared" si="6"/>
        <v>Normal</v>
      </c>
      <c r="N178" t="str">
        <f t="shared" si="7"/>
        <v>Under 30</v>
      </c>
      <c r="O178" t="str">
        <f t="shared" si="8"/>
        <v>2026-02</v>
      </c>
      <c r="P178" s="9">
        <f>IF(ClinicData[[#This Row],[Sex]]= "Male", ClinicData[[#This Row],[Hb_g_dL]], "")</f>
        <v>14.1</v>
      </c>
      <c r="Q178" s="8" t="str">
        <f>IF(ClinicData[[#This Row],[Sex]]="Female",ClinicData[[#This Row],[Hb_g_dL]], "")</f>
        <v/>
      </c>
    </row>
    <row r="179" spans="1:17" x14ac:dyDescent="0.2">
      <c r="A179">
        <v>1178</v>
      </c>
      <c r="B179" s="2">
        <v>45873</v>
      </c>
      <c r="C179" t="s">
        <v>15</v>
      </c>
      <c r="D179">
        <v>32</v>
      </c>
      <c r="E179" t="s">
        <v>30</v>
      </c>
      <c r="F179" t="s">
        <v>35</v>
      </c>
      <c r="G179">
        <v>10.7</v>
      </c>
      <c r="H179" t="s">
        <v>31</v>
      </c>
      <c r="I179">
        <v>38.6</v>
      </c>
      <c r="J179">
        <v>10.5</v>
      </c>
      <c r="K179">
        <v>1</v>
      </c>
      <c r="L179" t="s">
        <v>19</v>
      </c>
      <c r="M179" t="str">
        <f t="shared" si="6"/>
        <v>Anemic</v>
      </c>
      <c r="N179" t="str">
        <f t="shared" si="7"/>
        <v>30 and Above</v>
      </c>
      <c r="O179" t="str">
        <f t="shared" si="8"/>
        <v>2025-08</v>
      </c>
      <c r="P179" s="9" t="str">
        <f>IF(ClinicData[[#This Row],[Sex]]= "Male", ClinicData[[#This Row],[Hb_g_dL]], "")</f>
        <v/>
      </c>
      <c r="Q179" s="8">
        <f>IF(ClinicData[[#This Row],[Sex]]="Female",ClinicData[[#This Row],[Hb_g_dL]], "")</f>
        <v>10.7</v>
      </c>
    </row>
    <row r="180" spans="1:17" x14ac:dyDescent="0.2">
      <c r="A180">
        <v>1179</v>
      </c>
      <c r="B180" s="2">
        <v>45659</v>
      </c>
      <c r="C180" t="s">
        <v>22</v>
      </c>
      <c r="D180">
        <v>39</v>
      </c>
      <c r="E180" t="s">
        <v>37</v>
      </c>
      <c r="F180" t="s">
        <v>17</v>
      </c>
      <c r="G180">
        <v>13.7</v>
      </c>
      <c r="H180" t="s">
        <v>18</v>
      </c>
      <c r="I180">
        <v>37.200000000000003</v>
      </c>
      <c r="J180">
        <v>9.9</v>
      </c>
      <c r="K180">
        <v>9</v>
      </c>
      <c r="L180" t="s">
        <v>27</v>
      </c>
      <c r="M180" t="str">
        <f t="shared" si="6"/>
        <v>Normal</v>
      </c>
      <c r="N180" t="str">
        <f t="shared" si="7"/>
        <v>30 and Above</v>
      </c>
      <c r="O180" t="str">
        <f t="shared" si="8"/>
        <v>2025-01</v>
      </c>
      <c r="P180" s="9">
        <f>IF(ClinicData[[#This Row],[Sex]]= "Male", ClinicData[[#This Row],[Hb_g_dL]], "")</f>
        <v>13.7</v>
      </c>
      <c r="Q180" s="8" t="str">
        <f>IF(ClinicData[[#This Row],[Sex]]="Female",ClinicData[[#This Row],[Hb_g_dL]], "")</f>
        <v/>
      </c>
    </row>
    <row r="181" spans="1:17" x14ac:dyDescent="0.2">
      <c r="A181">
        <v>1180</v>
      </c>
      <c r="B181" s="2">
        <v>45930</v>
      </c>
      <c r="C181" t="s">
        <v>22</v>
      </c>
      <c r="D181">
        <v>4</v>
      </c>
      <c r="E181" t="s">
        <v>28</v>
      </c>
      <c r="F181" t="s">
        <v>26</v>
      </c>
      <c r="G181">
        <v>13.4</v>
      </c>
      <c r="H181" t="s">
        <v>31</v>
      </c>
      <c r="I181">
        <v>37.700000000000003</v>
      </c>
      <c r="J181">
        <v>8.8000000000000007</v>
      </c>
      <c r="K181">
        <v>1</v>
      </c>
      <c r="L181" t="s">
        <v>21</v>
      </c>
      <c r="M181" t="str">
        <f t="shared" si="6"/>
        <v>Normal</v>
      </c>
      <c r="N181" t="str">
        <f t="shared" si="7"/>
        <v>Under 30</v>
      </c>
      <c r="O181" t="str">
        <f t="shared" si="8"/>
        <v>2025-09</v>
      </c>
      <c r="P181" s="9">
        <f>IF(ClinicData[[#This Row],[Sex]]= "Male", ClinicData[[#This Row],[Hb_g_dL]], "")</f>
        <v>13.4</v>
      </c>
      <c r="Q181" s="8" t="str">
        <f>IF(ClinicData[[#This Row],[Sex]]="Female",ClinicData[[#This Row],[Hb_g_dL]], "")</f>
        <v/>
      </c>
    </row>
    <row r="182" spans="1:17" x14ac:dyDescent="0.2">
      <c r="A182">
        <v>1181</v>
      </c>
      <c r="B182" s="2">
        <v>46070</v>
      </c>
      <c r="C182" t="s">
        <v>15</v>
      </c>
      <c r="D182">
        <v>41</v>
      </c>
      <c r="E182" t="s">
        <v>25</v>
      </c>
      <c r="F182" t="s">
        <v>24</v>
      </c>
      <c r="G182">
        <v>12.2</v>
      </c>
      <c r="H182" t="s">
        <v>31</v>
      </c>
      <c r="I182">
        <v>38.5</v>
      </c>
      <c r="J182">
        <v>5.7</v>
      </c>
      <c r="K182">
        <v>10</v>
      </c>
      <c r="L182" t="s">
        <v>19</v>
      </c>
      <c r="M182" t="str">
        <f t="shared" si="6"/>
        <v>Normal</v>
      </c>
      <c r="N182" t="str">
        <f t="shared" si="7"/>
        <v>30 and Above</v>
      </c>
      <c r="O182" t="str">
        <f t="shared" si="8"/>
        <v>2026-02</v>
      </c>
      <c r="P182" s="9" t="str">
        <f>IF(ClinicData[[#This Row],[Sex]]= "Male", ClinicData[[#This Row],[Hb_g_dL]], "")</f>
        <v/>
      </c>
      <c r="Q182" s="8">
        <f>IF(ClinicData[[#This Row],[Sex]]="Female",ClinicData[[#This Row],[Hb_g_dL]], "")</f>
        <v>12.2</v>
      </c>
    </row>
    <row r="183" spans="1:17" x14ac:dyDescent="0.2">
      <c r="A183">
        <v>1182</v>
      </c>
      <c r="B183" s="2">
        <v>45977</v>
      </c>
      <c r="C183" t="s">
        <v>22</v>
      </c>
      <c r="D183">
        <v>15</v>
      </c>
      <c r="E183" t="s">
        <v>28</v>
      </c>
      <c r="F183" t="s">
        <v>29</v>
      </c>
      <c r="G183">
        <v>8.9</v>
      </c>
      <c r="H183" t="s">
        <v>31</v>
      </c>
      <c r="I183">
        <v>38.1</v>
      </c>
      <c r="J183">
        <v>8.8000000000000007</v>
      </c>
      <c r="K183">
        <v>2</v>
      </c>
      <c r="L183" t="s">
        <v>27</v>
      </c>
      <c r="M183" t="str">
        <f t="shared" si="6"/>
        <v>Anemic</v>
      </c>
      <c r="N183" t="str">
        <f t="shared" si="7"/>
        <v>Under 30</v>
      </c>
      <c r="O183" t="str">
        <f t="shared" si="8"/>
        <v>2025-11</v>
      </c>
      <c r="P183" s="9">
        <f>IF(ClinicData[[#This Row],[Sex]]= "Male", ClinicData[[#This Row],[Hb_g_dL]], "")</f>
        <v>8.9</v>
      </c>
      <c r="Q183" s="8" t="str">
        <f>IF(ClinicData[[#This Row],[Sex]]="Female",ClinicData[[#This Row],[Hb_g_dL]], "")</f>
        <v/>
      </c>
    </row>
    <row r="184" spans="1:17" x14ac:dyDescent="0.2">
      <c r="A184">
        <v>1183</v>
      </c>
      <c r="B184" s="2">
        <v>45819</v>
      </c>
      <c r="C184" t="s">
        <v>22</v>
      </c>
      <c r="D184">
        <v>16</v>
      </c>
      <c r="E184" t="s">
        <v>16</v>
      </c>
      <c r="F184" t="s">
        <v>32</v>
      </c>
      <c r="G184">
        <v>14.1</v>
      </c>
      <c r="H184" t="s">
        <v>18</v>
      </c>
      <c r="I184">
        <v>37.799999999999997</v>
      </c>
      <c r="J184">
        <v>8.9</v>
      </c>
      <c r="K184">
        <v>2</v>
      </c>
      <c r="L184" t="s">
        <v>21</v>
      </c>
      <c r="M184" t="str">
        <f t="shared" si="6"/>
        <v>Normal</v>
      </c>
      <c r="N184" t="str">
        <f t="shared" si="7"/>
        <v>Under 30</v>
      </c>
      <c r="O184" t="str">
        <f t="shared" si="8"/>
        <v>2025-06</v>
      </c>
      <c r="P184" s="9">
        <f>IF(ClinicData[[#This Row],[Sex]]= "Male", ClinicData[[#This Row],[Hb_g_dL]], "")</f>
        <v>14.1</v>
      </c>
      <c r="Q184" s="8" t="str">
        <f>IF(ClinicData[[#This Row],[Sex]]="Female",ClinicData[[#This Row],[Hb_g_dL]], "")</f>
        <v/>
      </c>
    </row>
    <row r="185" spans="1:17" x14ac:dyDescent="0.2">
      <c r="A185">
        <v>1184</v>
      </c>
      <c r="B185" s="2">
        <v>45771</v>
      </c>
      <c r="C185" t="s">
        <v>22</v>
      </c>
      <c r="D185">
        <v>28</v>
      </c>
      <c r="E185" t="s">
        <v>37</v>
      </c>
      <c r="F185" t="s">
        <v>26</v>
      </c>
      <c r="G185">
        <v>12.7</v>
      </c>
      <c r="H185" t="s">
        <v>31</v>
      </c>
      <c r="I185">
        <v>39.200000000000003</v>
      </c>
      <c r="J185">
        <v>7.7</v>
      </c>
      <c r="K185">
        <v>7</v>
      </c>
      <c r="L185" t="s">
        <v>19</v>
      </c>
      <c r="M185" t="str">
        <f t="shared" si="6"/>
        <v>Normal</v>
      </c>
      <c r="N185" t="str">
        <f t="shared" si="7"/>
        <v>Under 30</v>
      </c>
      <c r="O185" t="str">
        <f t="shared" si="8"/>
        <v>2025-04</v>
      </c>
      <c r="P185" s="9">
        <f>IF(ClinicData[[#This Row],[Sex]]= "Male", ClinicData[[#This Row],[Hb_g_dL]], "")</f>
        <v>12.7</v>
      </c>
      <c r="Q185" s="8" t="str">
        <f>IF(ClinicData[[#This Row],[Sex]]="Female",ClinicData[[#This Row],[Hb_g_dL]], "")</f>
        <v/>
      </c>
    </row>
    <row r="186" spans="1:17" x14ac:dyDescent="0.2">
      <c r="A186">
        <v>1185</v>
      </c>
      <c r="B186" s="2">
        <v>45931</v>
      </c>
      <c r="C186" t="s">
        <v>15</v>
      </c>
      <c r="D186">
        <v>16</v>
      </c>
      <c r="E186" t="s">
        <v>28</v>
      </c>
      <c r="F186" t="s">
        <v>36</v>
      </c>
      <c r="G186">
        <v>9.3000000000000007</v>
      </c>
      <c r="H186" t="s">
        <v>18</v>
      </c>
      <c r="I186">
        <v>36.5</v>
      </c>
      <c r="J186">
        <v>9.1</v>
      </c>
      <c r="K186">
        <v>1</v>
      </c>
      <c r="L186" t="s">
        <v>19</v>
      </c>
      <c r="M186" t="str">
        <f t="shared" si="6"/>
        <v>Anemic</v>
      </c>
      <c r="N186" t="str">
        <f t="shared" si="7"/>
        <v>Under 30</v>
      </c>
      <c r="O186" t="str">
        <f t="shared" si="8"/>
        <v>2025-10</v>
      </c>
      <c r="P186" s="9" t="str">
        <f>IF(ClinicData[[#This Row],[Sex]]= "Male", ClinicData[[#This Row],[Hb_g_dL]], "")</f>
        <v/>
      </c>
      <c r="Q186" s="8">
        <f>IF(ClinicData[[#This Row],[Sex]]="Female",ClinicData[[#This Row],[Hb_g_dL]], "")</f>
        <v>9.3000000000000007</v>
      </c>
    </row>
    <row r="187" spans="1:17" x14ac:dyDescent="0.2">
      <c r="A187">
        <v>1186</v>
      </c>
      <c r="B187" s="2">
        <v>45675</v>
      </c>
      <c r="C187" t="s">
        <v>22</v>
      </c>
      <c r="D187">
        <v>13</v>
      </c>
      <c r="E187" t="s">
        <v>16</v>
      </c>
      <c r="F187" t="s">
        <v>29</v>
      </c>
      <c r="G187">
        <v>10.3</v>
      </c>
      <c r="H187" t="s">
        <v>31</v>
      </c>
      <c r="I187">
        <v>39.1</v>
      </c>
      <c r="J187">
        <v>9.6</v>
      </c>
      <c r="K187">
        <v>0</v>
      </c>
      <c r="L187" t="s">
        <v>19</v>
      </c>
      <c r="M187" t="str">
        <f t="shared" si="6"/>
        <v>Anemic</v>
      </c>
      <c r="N187" t="str">
        <f t="shared" si="7"/>
        <v>Under 30</v>
      </c>
      <c r="O187" t="str">
        <f t="shared" si="8"/>
        <v>2025-01</v>
      </c>
      <c r="P187" s="9">
        <f>IF(ClinicData[[#This Row],[Sex]]= "Male", ClinicData[[#This Row],[Hb_g_dL]], "")</f>
        <v>10.3</v>
      </c>
      <c r="Q187" s="8" t="str">
        <f>IF(ClinicData[[#This Row],[Sex]]="Female",ClinicData[[#This Row],[Hb_g_dL]], "")</f>
        <v/>
      </c>
    </row>
    <row r="188" spans="1:17" x14ac:dyDescent="0.2">
      <c r="A188">
        <v>1187</v>
      </c>
      <c r="B188" s="2">
        <v>45768</v>
      </c>
      <c r="C188" t="s">
        <v>15</v>
      </c>
      <c r="D188">
        <v>16</v>
      </c>
      <c r="E188" t="s">
        <v>33</v>
      </c>
      <c r="F188" t="s">
        <v>26</v>
      </c>
      <c r="G188">
        <v>11.3</v>
      </c>
      <c r="H188" t="s">
        <v>18</v>
      </c>
      <c r="I188">
        <v>37</v>
      </c>
      <c r="J188">
        <v>6.4</v>
      </c>
      <c r="K188">
        <v>17</v>
      </c>
      <c r="L188" t="s">
        <v>19</v>
      </c>
      <c r="M188" t="str">
        <f t="shared" si="6"/>
        <v>Anemic</v>
      </c>
      <c r="N188" t="str">
        <f t="shared" si="7"/>
        <v>Under 30</v>
      </c>
      <c r="O188" t="str">
        <f t="shared" si="8"/>
        <v>2025-04</v>
      </c>
      <c r="P188" s="9" t="str">
        <f>IF(ClinicData[[#This Row],[Sex]]= "Male", ClinicData[[#This Row],[Hb_g_dL]], "")</f>
        <v/>
      </c>
      <c r="Q188" s="8">
        <f>IF(ClinicData[[#This Row],[Sex]]="Female",ClinicData[[#This Row],[Hb_g_dL]], "")</f>
        <v>11.3</v>
      </c>
    </row>
    <row r="189" spans="1:17" x14ac:dyDescent="0.2">
      <c r="A189">
        <v>1188</v>
      </c>
      <c r="B189" s="2">
        <v>45784</v>
      </c>
      <c r="C189" t="s">
        <v>22</v>
      </c>
      <c r="D189">
        <v>30</v>
      </c>
      <c r="E189" t="s">
        <v>16</v>
      </c>
      <c r="F189" t="s">
        <v>29</v>
      </c>
      <c r="G189">
        <v>12</v>
      </c>
      <c r="H189" t="s">
        <v>18</v>
      </c>
      <c r="I189">
        <v>37.6</v>
      </c>
      <c r="J189">
        <v>7.5</v>
      </c>
      <c r="K189">
        <v>2</v>
      </c>
      <c r="L189" t="s">
        <v>21</v>
      </c>
      <c r="M189" t="str">
        <f t="shared" si="6"/>
        <v>Normal</v>
      </c>
      <c r="N189" t="str">
        <f t="shared" si="7"/>
        <v>30 and Above</v>
      </c>
      <c r="O189" t="str">
        <f t="shared" si="8"/>
        <v>2025-05</v>
      </c>
      <c r="P189" s="9">
        <f>IF(ClinicData[[#This Row],[Sex]]= "Male", ClinicData[[#This Row],[Hb_g_dL]], "")</f>
        <v>12</v>
      </c>
      <c r="Q189" s="8" t="str">
        <f>IF(ClinicData[[#This Row],[Sex]]="Female",ClinicData[[#This Row],[Hb_g_dL]], "")</f>
        <v/>
      </c>
    </row>
    <row r="190" spans="1:17" x14ac:dyDescent="0.2">
      <c r="A190">
        <v>1189</v>
      </c>
      <c r="B190" s="2">
        <v>45817</v>
      </c>
      <c r="C190" t="s">
        <v>22</v>
      </c>
      <c r="D190">
        <v>26</v>
      </c>
      <c r="E190" t="s">
        <v>25</v>
      </c>
      <c r="F190" t="s">
        <v>29</v>
      </c>
      <c r="G190">
        <v>11.6</v>
      </c>
      <c r="H190" t="s">
        <v>31</v>
      </c>
      <c r="I190">
        <v>39.200000000000003</v>
      </c>
      <c r="J190">
        <v>8.8000000000000007</v>
      </c>
      <c r="K190">
        <v>4</v>
      </c>
      <c r="L190" t="s">
        <v>19</v>
      </c>
      <c r="M190" t="str">
        <f t="shared" si="6"/>
        <v>Anemic</v>
      </c>
      <c r="N190" t="str">
        <f t="shared" si="7"/>
        <v>Under 30</v>
      </c>
      <c r="O190" t="str">
        <f t="shared" si="8"/>
        <v>2025-06</v>
      </c>
      <c r="P190" s="9">
        <f>IF(ClinicData[[#This Row],[Sex]]= "Male", ClinicData[[#This Row],[Hb_g_dL]], "")</f>
        <v>11.6</v>
      </c>
      <c r="Q190" s="8" t="str">
        <f>IF(ClinicData[[#This Row],[Sex]]="Female",ClinicData[[#This Row],[Hb_g_dL]], "")</f>
        <v/>
      </c>
    </row>
    <row r="191" spans="1:17" x14ac:dyDescent="0.2">
      <c r="A191">
        <v>1190</v>
      </c>
      <c r="B191" s="2">
        <v>45773</v>
      </c>
      <c r="C191" t="s">
        <v>22</v>
      </c>
      <c r="D191">
        <v>16</v>
      </c>
      <c r="E191" t="s">
        <v>28</v>
      </c>
      <c r="F191" t="s">
        <v>35</v>
      </c>
      <c r="G191">
        <v>11.6</v>
      </c>
      <c r="H191" t="s">
        <v>18</v>
      </c>
      <c r="I191">
        <v>37.200000000000003</v>
      </c>
      <c r="J191">
        <v>5.7</v>
      </c>
      <c r="K191">
        <v>1</v>
      </c>
      <c r="L191" t="s">
        <v>19</v>
      </c>
      <c r="M191" t="str">
        <f t="shared" si="6"/>
        <v>Anemic</v>
      </c>
      <c r="N191" t="str">
        <f t="shared" si="7"/>
        <v>Under 30</v>
      </c>
      <c r="O191" t="str">
        <f t="shared" si="8"/>
        <v>2025-04</v>
      </c>
      <c r="P191" s="9">
        <f>IF(ClinicData[[#This Row],[Sex]]= "Male", ClinicData[[#This Row],[Hb_g_dL]], "")</f>
        <v>11.6</v>
      </c>
      <c r="Q191" s="8" t="str">
        <f>IF(ClinicData[[#This Row],[Sex]]="Female",ClinicData[[#This Row],[Hb_g_dL]], "")</f>
        <v/>
      </c>
    </row>
    <row r="192" spans="1:17" x14ac:dyDescent="0.2">
      <c r="A192">
        <v>1191</v>
      </c>
      <c r="B192" s="2">
        <v>45845</v>
      </c>
      <c r="C192" t="s">
        <v>15</v>
      </c>
      <c r="D192">
        <v>16</v>
      </c>
      <c r="E192" t="s">
        <v>28</v>
      </c>
      <c r="F192" t="s">
        <v>35</v>
      </c>
      <c r="G192">
        <v>12</v>
      </c>
      <c r="H192" t="s">
        <v>18</v>
      </c>
      <c r="I192">
        <v>36.6</v>
      </c>
      <c r="J192">
        <v>9.9</v>
      </c>
      <c r="K192">
        <v>2</v>
      </c>
      <c r="L192" t="s">
        <v>19</v>
      </c>
      <c r="M192" t="str">
        <f t="shared" si="6"/>
        <v>Normal</v>
      </c>
      <c r="N192" t="str">
        <f t="shared" si="7"/>
        <v>Under 30</v>
      </c>
      <c r="O192" t="str">
        <f t="shared" si="8"/>
        <v>2025-07</v>
      </c>
      <c r="P192" s="9" t="str">
        <f>IF(ClinicData[[#This Row],[Sex]]= "Male", ClinicData[[#This Row],[Hb_g_dL]], "")</f>
        <v/>
      </c>
      <c r="Q192" s="8">
        <f>IF(ClinicData[[#This Row],[Sex]]="Female",ClinicData[[#This Row],[Hb_g_dL]], "")</f>
        <v>12</v>
      </c>
    </row>
    <row r="193" spans="1:17" x14ac:dyDescent="0.2">
      <c r="A193">
        <v>1192</v>
      </c>
      <c r="B193" s="2">
        <v>45807</v>
      </c>
      <c r="C193" t="s">
        <v>22</v>
      </c>
      <c r="D193">
        <v>19</v>
      </c>
      <c r="E193" t="s">
        <v>25</v>
      </c>
      <c r="F193" t="s">
        <v>29</v>
      </c>
      <c r="G193">
        <v>11.4</v>
      </c>
      <c r="H193" t="s">
        <v>31</v>
      </c>
      <c r="I193">
        <v>38.1</v>
      </c>
      <c r="J193">
        <v>7</v>
      </c>
      <c r="K193">
        <v>5</v>
      </c>
      <c r="L193" t="s">
        <v>27</v>
      </c>
      <c r="M193" t="str">
        <f t="shared" si="6"/>
        <v>Anemic</v>
      </c>
      <c r="N193" t="str">
        <f t="shared" si="7"/>
        <v>Under 30</v>
      </c>
      <c r="O193" t="str">
        <f t="shared" si="8"/>
        <v>2025-05</v>
      </c>
      <c r="P193" s="9">
        <f>IF(ClinicData[[#This Row],[Sex]]= "Male", ClinicData[[#This Row],[Hb_g_dL]], "")</f>
        <v>11.4</v>
      </c>
      <c r="Q193" s="8" t="str">
        <f>IF(ClinicData[[#This Row],[Sex]]="Female",ClinicData[[#This Row],[Hb_g_dL]], "")</f>
        <v/>
      </c>
    </row>
    <row r="194" spans="1:17" x14ac:dyDescent="0.2">
      <c r="A194">
        <v>1193</v>
      </c>
      <c r="B194" s="2">
        <v>45947</v>
      </c>
      <c r="C194" t="s">
        <v>15</v>
      </c>
      <c r="D194">
        <v>31</v>
      </c>
      <c r="E194" t="s">
        <v>25</v>
      </c>
      <c r="F194" t="s">
        <v>20</v>
      </c>
      <c r="G194">
        <v>11.8</v>
      </c>
      <c r="H194" t="s">
        <v>18</v>
      </c>
      <c r="I194">
        <v>36.5</v>
      </c>
      <c r="J194">
        <v>11.7</v>
      </c>
      <c r="K194">
        <v>5</v>
      </c>
      <c r="L194" t="s">
        <v>27</v>
      </c>
      <c r="M194" t="str">
        <f t="shared" ref="M194:M257" si="9">IF(G194&lt;12,"Anemic","Normal")</f>
        <v>Anemic</v>
      </c>
      <c r="N194" t="str">
        <f t="shared" ref="N194:N257" si="10">IF(D194&lt;30,"Under 30","30 and Above")</f>
        <v>30 and Above</v>
      </c>
      <c r="O194" t="str">
        <f t="shared" ref="O194:O257" si="11">TEXT(B194,"yyyy-mm")</f>
        <v>2025-10</v>
      </c>
      <c r="P194" s="9" t="str">
        <f>IF(ClinicData[[#This Row],[Sex]]= "Male", ClinicData[[#This Row],[Hb_g_dL]], "")</f>
        <v/>
      </c>
      <c r="Q194" s="8">
        <f>IF(ClinicData[[#This Row],[Sex]]="Female",ClinicData[[#This Row],[Hb_g_dL]], "")</f>
        <v>11.8</v>
      </c>
    </row>
    <row r="195" spans="1:17" x14ac:dyDescent="0.2">
      <c r="A195">
        <v>1194</v>
      </c>
      <c r="B195" s="2">
        <v>45957</v>
      </c>
      <c r="C195" t="s">
        <v>15</v>
      </c>
      <c r="D195">
        <v>4</v>
      </c>
      <c r="E195" t="s">
        <v>25</v>
      </c>
      <c r="F195" t="s">
        <v>26</v>
      </c>
      <c r="G195">
        <v>11.4</v>
      </c>
      <c r="H195" t="s">
        <v>31</v>
      </c>
      <c r="I195">
        <v>37.200000000000003</v>
      </c>
      <c r="J195">
        <v>11.5</v>
      </c>
      <c r="K195">
        <v>7</v>
      </c>
      <c r="L195" t="s">
        <v>19</v>
      </c>
      <c r="M195" t="str">
        <f t="shared" si="9"/>
        <v>Anemic</v>
      </c>
      <c r="N195" t="str">
        <f t="shared" si="10"/>
        <v>Under 30</v>
      </c>
      <c r="O195" t="str">
        <f t="shared" si="11"/>
        <v>2025-10</v>
      </c>
      <c r="P195" s="9" t="str">
        <f>IF(ClinicData[[#This Row],[Sex]]= "Male", ClinicData[[#This Row],[Hb_g_dL]], "")</f>
        <v/>
      </c>
      <c r="Q195" s="8">
        <f>IF(ClinicData[[#This Row],[Sex]]="Female",ClinicData[[#This Row],[Hb_g_dL]], "")</f>
        <v>11.4</v>
      </c>
    </row>
    <row r="196" spans="1:17" x14ac:dyDescent="0.2">
      <c r="A196">
        <v>1195</v>
      </c>
      <c r="B196" s="2">
        <v>46040</v>
      </c>
      <c r="C196" t="s">
        <v>15</v>
      </c>
      <c r="D196">
        <v>18</v>
      </c>
      <c r="E196" t="s">
        <v>30</v>
      </c>
      <c r="F196" t="s">
        <v>35</v>
      </c>
      <c r="G196">
        <v>12.2</v>
      </c>
      <c r="H196" t="s">
        <v>18</v>
      </c>
      <c r="I196">
        <v>36.1</v>
      </c>
      <c r="J196">
        <v>8.6</v>
      </c>
      <c r="K196">
        <v>8</v>
      </c>
      <c r="L196" t="s">
        <v>21</v>
      </c>
      <c r="M196" t="str">
        <f t="shared" si="9"/>
        <v>Normal</v>
      </c>
      <c r="N196" t="str">
        <f t="shared" si="10"/>
        <v>Under 30</v>
      </c>
      <c r="O196" t="str">
        <f t="shared" si="11"/>
        <v>2026-01</v>
      </c>
      <c r="P196" s="9" t="str">
        <f>IF(ClinicData[[#This Row],[Sex]]= "Male", ClinicData[[#This Row],[Hb_g_dL]], "")</f>
        <v/>
      </c>
      <c r="Q196" s="8">
        <f>IF(ClinicData[[#This Row],[Sex]]="Female",ClinicData[[#This Row],[Hb_g_dL]], "")</f>
        <v>12.2</v>
      </c>
    </row>
    <row r="197" spans="1:17" x14ac:dyDescent="0.2">
      <c r="A197">
        <v>1196</v>
      </c>
      <c r="B197" s="2">
        <v>45763</v>
      </c>
      <c r="C197" t="s">
        <v>22</v>
      </c>
      <c r="D197">
        <v>34</v>
      </c>
      <c r="E197" t="s">
        <v>25</v>
      </c>
      <c r="F197" t="s">
        <v>26</v>
      </c>
      <c r="G197">
        <v>13.4</v>
      </c>
      <c r="H197" t="s">
        <v>18</v>
      </c>
      <c r="I197">
        <v>37.200000000000003</v>
      </c>
      <c r="J197">
        <v>5.9</v>
      </c>
      <c r="K197">
        <v>9</v>
      </c>
      <c r="L197" t="s">
        <v>21</v>
      </c>
      <c r="M197" t="str">
        <f t="shared" si="9"/>
        <v>Normal</v>
      </c>
      <c r="N197" t="str">
        <f t="shared" si="10"/>
        <v>30 and Above</v>
      </c>
      <c r="O197" t="str">
        <f t="shared" si="11"/>
        <v>2025-04</v>
      </c>
      <c r="P197" s="9">
        <f>IF(ClinicData[[#This Row],[Sex]]= "Male", ClinicData[[#This Row],[Hb_g_dL]], "")</f>
        <v>13.4</v>
      </c>
      <c r="Q197" s="8" t="str">
        <f>IF(ClinicData[[#This Row],[Sex]]="Female",ClinicData[[#This Row],[Hb_g_dL]], "")</f>
        <v/>
      </c>
    </row>
    <row r="198" spans="1:17" x14ac:dyDescent="0.2">
      <c r="A198">
        <v>1197</v>
      </c>
      <c r="B198" s="2">
        <v>45778</v>
      </c>
      <c r="C198" t="s">
        <v>15</v>
      </c>
      <c r="D198">
        <v>39</v>
      </c>
      <c r="E198" t="s">
        <v>28</v>
      </c>
      <c r="F198" t="s">
        <v>26</v>
      </c>
      <c r="G198">
        <v>12.5</v>
      </c>
      <c r="H198" t="s">
        <v>31</v>
      </c>
      <c r="I198">
        <v>37.799999999999997</v>
      </c>
      <c r="J198">
        <v>4.3</v>
      </c>
      <c r="K198">
        <v>0</v>
      </c>
      <c r="L198" t="s">
        <v>21</v>
      </c>
      <c r="M198" t="str">
        <f t="shared" si="9"/>
        <v>Normal</v>
      </c>
      <c r="N198" t="str">
        <f t="shared" si="10"/>
        <v>30 and Above</v>
      </c>
      <c r="O198" t="str">
        <f t="shared" si="11"/>
        <v>2025-05</v>
      </c>
      <c r="P198" s="9" t="str">
        <f>IF(ClinicData[[#This Row],[Sex]]= "Male", ClinicData[[#This Row],[Hb_g_dL]], "")</f>
        <v/>
      </c>
      <c r="Q198" s="8">
        <f>IF(ClinicData[[#This Row],[Sex]]="Female",ClinicData[[#This Row],[Hb_g_dL]], "")</f>
        <v>12.5</v>
      </c>
    </row>
    <row r="199" spans="1:17" x14ac:dyDescent="0.2">
      <c r="A199">
        <v>1198</v>
      </c>
      <c r="B199" s="2">
        <v>45661</v>
      </c>
      <c r="C199" t="s">
        <v>22</v>
      </c>
      <c r="D199">
        <v>39</v>
      </c>
      <c r="E199" t="s">
        <v>16</v>
      </c>
      <c r="F199" t="s">
        <v>32</v>
      </c>
      <c r="G199">
        <v>12.3</v>
      </c>
      <c r="H199" t="s">
        <v>31</v>
      </c>
      <c r="I199">
        <v>37.4</v>
      </c>
      <c r="J199">
        <v>11</v>
      </c>
      <c r="K199">
        <v>2</v>
      </c>
      <c r="L199" t="s">
        <v>19</v>
      </c>
      <c r="M199" t="str">
        <f t="shared" si="9"/>
        <v>Normal</v>
      </c>
      <c r="N199" t="str">
        <f t="shared" si="10"/>
        <v>30 and Above</v>
      </c>
      <c r="O199" t="str">
        <f t="shared" si="11"/>
        <v>2025-01</v>
      </c>
      <c r="P199" s="9">
        <f>IF(ClinicData[[#This Row],[Sex]]= "Male", ClinicData[[#This Row],[Hb_g_dL]], "")</f>
        <v>12.3</v>
      </c>
      <c r="Q199" s="8" t="str">
        <f>IF(ClinicData[[#This Row],[Sex]]="Female",ClinicData[[#This Row],[Hb_g_dL]], "")</f>
        <v/>
      </c>
    </row>
    <row r="200" spans="1:17" x14ac:dyDescent="0.2">
      <c r="A200">
        <v>1199</v>
      </c>
      <c r="B200" s="2">
        <v>45744</v>
      </c>
      <c r="C200" t="s">
        <v>15</v>
      </c>
      <c r="D200">
        <v>8</v>
      </c>
      <c r="E200" t="s">
        <v>37</v>
      </c>
      <c r="F200" t="s">
        <v>35</v>
      </c>
      <c r="G200">
        <v>11.6</v>
      </c>
      <c r="H200" t="s">
        <v>31</v>
      </c>
      <c r="I200">
        <v>37.9</v>
      </c>
      <c r="J200">
        <v>13.2</v>
      </c>
      <c r="K200">
        <v>5</v>
      </c>
      <c r="L200" t="s">
        <v>21</v>
      </c>
      <c r="M200" t="str">
        <f t="shared" si="9"/>
        <v>Anemic</v>
      </c>
      <c r="N200" t="str">
        <f t="shared" si="10"/>
        <v>Under 30</v>
      </c>
      <c r="O200" t="str">
        <f t="shared" si="11"/>
        <v>2025-03</v>
      </c>
      <c r="P200" s="9" t="str">
        <f>IF(ClinicData[[#This Row],[Sex]]= "Male", ClinicData[[#This Row],[Hb_g_dL]], "")</f>
        <v/>
      </c>
      <c r="Q200" s="8">
        <f>IF(ClinicData[[#This Row],[Sex]]="Female",ClinicData[[#This Row],[Hb_g_dL]], "")</f>
        <v>11.6</v>
      </c>
    </row>
    <row r="201" spans="1:17" x14ac:dyDescent="0.2">
      <c r="A201">
        <v>1200</v>
      </c>
      <c r="B201" s="2">
        <v>45887</v>
      </c>
      <c r="C201" t="s">
        <v>15</v>
      </c>
      <c r="D201">
        <v>8</v>
      </c>
      <c r="E201" t="s">
        <v>28</v>
      </c>
      <c r="F201" t="s">
        <v>35</v>
      </c>
      <c r="G201">
        <v>12.9</v>
      </c>
      <c r="H201" t="s">
        <v>31</v>
      </c>
      <c r="I201">
        <v>39.9</v>
      </c>
      <c r="J201">
        <v>9.1999999999999993</v>
      </c>
      <c r="K201">
        <v>1</v>
      </c>
      <c r="L201" t="s">
        <v>19</v>
      </c>
      <c r="M201" t="str">
        <f t="shared" si="9"/>
        <v>Normal</v>
      </c>
      <c r="N201" t="str">
        <f t="shared" si="10"/>
        <v>Under 30</v>
      </c>
      <c r="O201" t="str">
        <f t="shared" si="11"/>
        <v>2025-08</v>
      </c>
      <c r="P201" s="9" t="str">
        <f>IF(ClinicData[[#This Row],[Sex]]= "Male", ClinicData[[#This Row],[Hb_g_dL]], "")</f>
        <v/>
      </c>
      <c r="Q201" s="8">
        <f>IF(ClinicData[[#This Row],[Sex]]="Female",ClinicData[[#This Row],[Hb_g_dL]], "")</f>
        <v>12.9</v>
      </c>
    </row>
    <row r="202" spans="1:17" x14ac:dyDescent="0.2">
      <c r="A202">
        <v>1201</v>
      </c>
      <c r="B202" s="2">
        <v>46025</v>
      </c>
      <c r="C202" t="s">
        <v>22</v>
      </c>
      <c r="D202">
        <v>27</v>
      </c>
      <c r="E202" t="s">
        <v>33</v>
      </c>
      <c r="F202" t="s">
        <v>24</v>
      </c>
      <c r="G202">
        <v>15.9</v>
      </c>
      <c r="H202" t="s">
        <v>18</v>
      </c>
      <c r="I202">
        <v>36.799999999999997</v>
      </c>
      <c r="J202">
        <v>10.6</v>
      </c>
      <c r="K202">
        <v>12</v>
      </c>
      <c r="L202" t="s">
        <v>27</v>
      </c>
      <c r="M202" t="str">
        <f t="shared" si="9"/>
        <v>Normal</v>
      </c>
      <c r="N202" t="str">
        <f t="shared" si="10"/>
        <v>Under 30</v>
      </c>
      <c r="O202" t="str">
        <f t="shared" si="11"/>
        <v>2026-01</v>
      </c>
      <c r="P202" s="9">
        <f>IF(ClinicData[[#This Row],[Sex]]= "Male", ClinicData[[#This Row],[Hb_g_dL]], "")</f>
        <v>15.9</v>
      </c>
      <c r="Q202" s="8" t="str">
        <f>IF(ClinicData[[#This Row],[Sex]]="Female",ClinicData[[#This Row],[Hb_g_dL]], "")</f>
        <v/>
      </c>
    </row>
    <row r="203" spans="1:17" x14ac:dyDescent="0.2">
      <c r="A203">
        <v>1202</v>
      </c>
      <c r="B203" s="2">
        <v>45992</v>
      </c>
      <c r="C203" t="s">
        <v>15</v>
      </c>
      <c r="D203">
        <v>46</v>
      </c>
      <c r="E203" t="s">
        <v>16</v>
      </c>
      <c r="F203" t="s">
        <v>35</v>
      </c>
      <c r="G203">
        <v>12.9</v>
      </c>
      <c r="H203" t="s">
        <v>31</v>
      </c>
      <c r="I203">
        <v>38.700000000000003</v>
      </c>
      <c r="J203">
        <v>8.1</v>
      </c>
      <c r="K203">
        <v>2</v>
      </c>
      <c r="L203" t="s">
        <v>19</v>
      </c>
      <c r="M203" t="str">
        <f t="shared" si="9"/>
        <v>Normal</v>
      </c>
      <c r="N203" t="str">
        <f t="shared" si="10"/>
        <v>30 and Above</v>
      </c>
      <c r="O203" t="str">
        <f t="shared" si="11"/>
        <v>2025-12</v>
      </c>
      <c r="P203" s="9" t="str">
        <f>IF(ClinicData[[#This Row],[Sex]]= "Male", ClinicData[[#This Row],[Hb_g_dL]], "")</f>
        <v/>
      </c>
      <c r="Q203" s="8">
        <f>IF(ClinicData[[#This Row],[Sex]]="Female",ClinicData[[#This Row],[Hb_g_dL]], "")</f>
        <v>12.9</v>
      </c>
    </row>
    <row r="204" spans="1:17" x14ac:dyDescent="0.2">
      <c r="A204">
        <v>1203</v>
      </c>
      <c r="B204" s="2">
        <v>46059</v>
      </c>
      <c r="C204" t="s">
        <v>15</v>
      </c>
      <c r="D204">
        <v>20</v>
      </c>
      <c r="E204" t="s">
        <v>23</v>
      </c>
      <c r="F204" t="s">
        <v>35</v>
      </c>
      <c r="G204">
        <v>11.4</v>
      </c>
      <c r="H204" t="s">
        <v>18</v>
      </c>
      <c r="I204">
        <v>37.9</v>
      </c>
      <c r="J204">
        <v>12.4</v>
      </c>
      <c r="K204">
        <v>5</v>
      </c>
      <c r="L204" t="s">
        <v>19</v>
      </c>
      <c r="M204" t="str">
        <f t="shared" si="9"/>
        <v>Anemic</v>
      </c>
      <c r="N204" t="str">
        <f t="shared" si="10"/>
        <v>Under 30</v>
      </c>
      <c r="O204" t="str">
        <f t="shared" si="11"/>
        <v>2026-02</v>
      </c>
      <c r="P204" s="9" t="str">
        <f>IF(ClinicData[[#This Row],[Sex]]= "Male", ClinicData[[#This Row],[Hb_g_dL]], "")</f>
        <v/>
      </c>
      <c r="Q204" s="8">
        <f>IF(ClinicData[[#This Row],[Sex]]="Female",ClinicData[[#This Row],[Hb_g_dL]], "")</f>
        <v>11.4</v>
      </c>
    </row>
    <row r="205" spans="1:17" x14ac:dyDescent="0.2">
      <c r="A205">
        <v>1204</v>
      </c>
      <c r="B205" s="2">
        <v>45948</v>
      </c>
      <c r="C205" t="s">
        <v>15</v>
      </c>
      <c r="D205">
        <v>41</v>
      </c>
      <c r="E205" t="s">
        <v>16</v>
      </c>
      <c r="F205" t="s">
        <v>26</v>
      </c>
      <c r="G205">
        <v>11.4</v>
      </c>
      <c r="H205" t="s">
        <v>31</v>
      </c>
      <c r="I205">
        <v>38.799999999999997</v>
      </c>
      <c r="J205">
        <v>7.4</v>
      </c>
      <c r="K205">
        <v>2</v>
      </c>
      <c r="L205" t="s">
        <v>19</v>
      </c>
      <c r="M205" t="str">
        <f t="shared" si="9"/>
        <v>Anemic</v>
      </c>
      <c r="N205" t="str">
        <f t="shared" si="10"/>
        <v>30 and Above</v>
      </c>
      <c r="O205" t="str">
        <f t="shared" si="11"/>
        <v>2025-10</v>
      </c>
      <c r="P205" s="9" t="str">
        <f>IF(ClinicData[[#This Row],[Sex]]= "Male", ClinicData[[#This Row],[Hb_g_dL]], "")</f>
        <v/>
      </c>
      <c r="Q205" s="8">
        <f>IF(ClinicData[[#This Row],[Sex]]="Female",ClinicData[[#This Row],[Hb_g_dL]], "")</f>
        <v>11.4</v>
      </c>
    </row>
    <row r="206" spans="1:17" x14ac:dyDescent="0.2">
      <c r="A206">
        <v>1205</v>
      </c>
      <c r="B206" s="2">
        <v>46010</v>
      </c>
      <c r="C206" t="s">
        <v>22</v>
      </c>
      <c r="D206">
        <v>11</v>
      </c>
      <c r="E206" t="s">
        <v>33</v>
      </c>
      <c r="F206" t="s">
        <v>26</v>
      </c>
      <c r="G206">
        <v>11.8</v>
      </c>
      <c r="H206" t="s">
        <v>31</v>
      </c>
      <c r="I206">
        <v>38.1</v>
      </c>
      <c r="J206">
        <v>11.7</v>
      </c>
      <c r="K206">
        <v>16</v>
      </c>
      <c r="L206" t="s">
        <v>19</v>
      </c>
      <c r="M206" t="str">
        <f t="shared" si="9"/>
        <v>Anemic</v>
      </c>
      <c r="N206" t="str">
        <f t="shared" si="10"/>
        <v>Under 30</v>
      </c>
      <c r="O206" t="str">
        <f t="shared" si="11"/>
        <v>2025-12</v>
      </c>
      <c r="P206" s="9">
        <f>IF(ClinicData[[#This Row],[Sex]]= "Male", ClinicData[[#This Row],[Hb_g_dL]], "")</f>
        <v>11.8</v>
      </c>
      <c r="Q206" s="8" t="str">
        <f>IF(ClinicData[[#This Row],[Sex]]="Female",ClinicData[[#This Row],[Hb_g_dL]], "")</f>
        <v/>
      </c>
    </row>
    <row r="207" spans="1:17" x14ac:dyDescent="0.2">
      <c r="A207">
        <v>1206</v>
      </c>
      <c r="B207" s="2">
        <v>45686</v>
      </c>
      <c r="C207" t="s">
        <v>22</v>
      </c>
      <c r="D207">
        <v>29</v>
      </c>
      <c r="E207" t="s">
        <v>28</v>
      </c>
      <c r="F207" t="s">
        <v>35</v>
      </c>
      <c r="G207">
        <v>15.2</v>
      </c>
      <c r="H207" t="s">
        <v>18</v>
      </c>
      <c r="I207">
        <v>35.799999999999997</v>
      </c>
      <c r="J207">
        <v>9.6</v>
      </c>
      <c r="K207">
        <v>1</v>
      </c>
      <c r="L207" t="s">
        <v>21</v>
      </c>
      <c r="M207" t="str">
        <f t="shared" si="9"/>
        <v>Normal</v>
      </c>
      <c r="N207" t="str">
        <f t="shared" si="10"/>
        <v>Under 30</v>
      </c>
      <c r="O207" t="str">
        <f t="shared" si="11"/>
        <v>2025-01</v>
      </c>
      <c r="P207" s="9">
        <f>IF(ClinicData[[#This Row],[Sex]]= "Male", ClinicData[[#This Row],[Hb_g_dL]], "")</f>
        <v>15.2</v>
      </c>
      <c r="Q207" s="8" t="str">
        <f>IF(ClinicData[[#This Row],[Sex]]="Female",ClinicData[[#This Row],[Hb_g_dL]], "")</f>
        <v/>
      </c>
    </row>
    <row r="208" spans="1:17" x14ac:dyDescent="0.2">
      <c r="A208">
        <v>1207</v>
      </c>
      <c r="B208" s="2">
        <v>46003</v>
      </c>
      <c r="C208" t="s">
        <v>22</v>
      </c>
      <c r="D208">
        <v>2</v>
      </c>
      <c r="E208" t="s">
        <v>23</v>
      </c>
      <c r="F208" t="s">
        <v>24</v>
      </c>
      <c r="G208">
        <v>14.8</v>
      </c>
      <c r="H208" t="s">
        <v>18</v>
      </c>
      <c r="I208">
        <v>36.200000000000003</v>
      </c>
      <c r="J208">
        <v>8</v>
      </c>
      <c r="K208">
        <v>3</v>
      </c>
      <c r="L208" t="s">
        <v>27</v>
      </c>
      <c r="M208" t="str">
        <f t="shared" si="9"/>
        <v>Normal</v>
      </c>
      <c r="N208" t="str">
        <f t="shared" si="10"/>
        <v>Under 30</v>
      </c>
      <c r="O208" t="str">
        <f t="shared" si="11"/>
        <v>2025-12</v>
      </c>
      <c r="P208" s="9">
        <f>IF(ClinicData[[#This Row],[Sex]]= "Male", ClinicData[[#This Row],[Hb_g_dL]], "")</f>
        <v>14.8</v>
      </c>
      <c r="Q208" s="8" t="str">
        <f>IF(ClinicData[[#This Row],[Sex]]="Female",ClinicData[[#This Row],[Hb_g_dL]], "")</f>
        <v/>
      </c>
    </row>
    <row r="209" spans="1:17" x14ac:dyDescent="0.2">
      <c r="A209">
        <v>1208</v>
      </c>
      <c r="B209" s="2">
        <v>45975</v>
      </c>
      <c r="C209" t="s">
        <v>22</v>
      </c>
      <c r="D209">
        <v>27</v>
      </c>
      <c r="E209" t="s">
        <v>23</v>
      </c>
      <c r="F209" t="s">
        <v>24</v>
      </c>
      <c r="G209">
        <v>12.4</v>
      </c>
      <c r="H209" t="s">
        <v>18</v>
      </c>
      <c r="I209">
        <v>36.4</v>
      </c>
      <c r="J209">
        <v>11.1</v>
      </c>
      <c r="K209">
        <v>3</v>
      </c>
      <c r="L209" t="s">
        <v>19</v>
      </c>
      <c r="M209" t="str">
        <f t="shared" si="9"/>
        <v>Normal</v>
      </c>
      <c r="N209" t="str">
        <f t="shared" si="10"/>
        <v>Under 30</v>
      </c>
      <c r="O209" t="str">
        <f t="shared" si="11"/>
        <v>2025-11</v>
      </c>
      <c r="P209" s="9">
        <f>IF(ClinicData[[#This Row],[Sex]]= "Male", ClinicData[[#This Row],[Hb_g_dL]], "")</f>
        <v>12.4</v>
      </c>
      <c r="Q209" s="8" t="str">
        <f>IF(ClinicData[[#This Row],[Sex]]="Female",ClinicData[[#This Row],[Hb_g_dL]], "")</f>
        <v/>
      </c>
    </row>
    <row r="210" spans="1:17" x14ac:dyDescent="0.2">
      <c r="A210">
        <v>1209</v>
      </c>
      <c r="B210" s="2">
        <v>45982</v>
      </c>
      <c r="C210" t="s">
        <v>22</v>
      </c>
      <c r="D210">
        <v>11</v>
      </c>
      <c r="E210" t="s">
        <v>25</v>
      </c>
      <c r="F210" t="s">
        <v>29</v>
      </c>
      <c r="G210">
        <v>6.6</v>
      </c>
      <c r="H210" t="s">
        <v>31</v>
      </c>
      <c r="I210">
        <v>37.6</v>
      </c>
      <c r="J210">
        <v>7.6</v>
      </c>
      <c r="K210">
        <v>5</v>
      </c>
      <c r="L210" t="s">
        <v>19</v>
      </c>
      <c r="M210" t="str">
        <f t="shared" si="9"/>
        <v>Anemic</v>
      </c>
      <c r="N210" t="str">
        <f t="shared" si="10"/>
        <v>Under 30</v>
      </c>
      <c r="O210" t="str">
        <f t="shared" si="11"/>
        <v>2025-11</v>
      </c>
      <c r="P210" s="9">
        <f>IF(ClinicData[[#This Row],[Sex]]= "Male", ClinicData[[#This Row],[Hb_g_dL]], "")</f>
        <v>6.6</v>
      </c>
      <c r="Q210" s="8" t="str">
        <f>IF(ClinicData[[#This Row],[Sex]]="Female",ClinicData[[#This Row],[Hb_g_dL]], "")</f>
        <v/>
      </c>
    </row>
    <row r="211" spans="1:17" x14ac:dyDescent="0.2">
      <c r="A211">
        <v>1210</v>
      </c>
      <c r="B211" s="2">
        <v>45761</v>
      </c>
      <c r="C211" t="s">
        <v>15</v>
      </c>
      <c r="D211">
        <v>14</v>
      </c>
      <c r="E211" t="s">
        <v>37</v>
      </c>
      <c r="F211" t="s">
        <v>17</v>
      </c>
      <c r="G211">
        <v>13.1</v>
      </c>
      <c r="H211" t="s">
        <v>31</v>
      </c>
      <c r="I211">
        <v>37.9</v>
      </c>
      <c r="J211">
        <v>6</v>
      </c>
      <c r="K211">
        <v>8</v>
      </c>
      <c r="L211" t="s">
        <v>19</v>
      </c>
      <c r="M211" t="str">
        <f t="shared" si="9"/>
        <v>Normal</v>
      </c>
      <c r="N211" t="str">
        <f t="shared" si="10"/>
        <v>Under 30</v>
      </c>
      <c r="O211" t="str">
        <f t="shared" si="11"/>
        <v>2025-04</v>
      </c>
      <c r="P211" s="9" t="str">
        <f>IF(ClinicData[[#This Row],[Sex]]= "Male", ClinicData[[#This Row],[Hb_g_dL]], "")</f>
        <v/>
      </c>
      <c r="Q211" s="8">
        <f>IF(ClinicData[[#This Row],[Sex]]="Female",ClinicData[[#This Row],[Hb_g_dL]], "")</f>
        <v>13.1</v>
      </c>
    </row>
    <row r="212" spans="1:17" x14ac:dyDescent="0.2">
      <c r="A212">
        <v>1211</v>
      </c>
      <c r="B212" s="2">
        <v>45715</v>
      </c>
      <c r="C212" t="s">
        <v>15</v>
      </c>
      <c r="D212">
        <v>16</v>
      </c>
      <c r="E212" t="s">
        <v>25</v>
      </c>
      <c r="F212" t="s">
        <v>32</v>
      </c>
      <c r="G212">
        <v>10.5</v>
      </c>
      <c r="H212" t="s">
        <v>31</v>
      </c>
      <c r="I212">
        <v>36.9</v>
      </c>
      <c r="J212">
        <v>7.3</v>
      </c>
      <c r="K212">
        <v>2</v>
      </c>
      <c r="L212" t="s">
        <v>27</v>
      </c>
      <c r="M212" t="str">
        <f t="shared" si="9"/>
        <v>Anemic</v>
      </c>
      <c r="N212" t="str">
        <f t="shared" si="10"/>
        <v>Under 30</v>
      </c>
      <c r="O212" t="str">
        <f t="shared" si="11"/>
        <v>2025-02</v>
      </c>
      <c r="P212" s="9" t="str">
        <f>IF(ClinicData[[#This Row],[Sex]]= "Male", ClinicData[[#This Row],[Hb_g_dL]], "")</f>
        <v/>
      </c>
      <c r="Q212" s="8">
        <f>IF(ClinicData[[#This Row],[Sex]]="Female",ClinicData[[#This Row],[Hb_g_dL]], "")</f>
        <v>10.5</v>
      </c>
    </row>
    <row r="213" spans="1:17" x14ac:dyDescent="0.2">
      <c r="A213">
        <v>1212</v>
      </c>
      <c r="B213" s="2">
        <v>45921</v>
      </c>
      <c r="C213" t="s">
        <v>22</v>
      </c>
      <c r="D213">
        <v>23</v>
      </c>
      <c r="E213" t="s">
        <v>33</v>
      </c>
      <c r="F213" t="s">
        <v>24</v>
      </c>
      <c r="G213">
        <v>14.3</v>
      </c>
      <c r="H213" t="s">
        <v>18</v>
      </c>
      <c r="I213">
        <v>37.700000000000003</v>
      </c>
      <c r="J213">
        <v>11.6</v>
      </c>
      <c r="K213">
        <v>15</v>
      </c>
      <c r="L213" t="s">
        <v>19</v>
      </c>
      <c r="M213" t="str">
        <f t="shared" si="9"/>
        <v>Normal</v>
      </c>
      <c r="N213" t="str">
        <f t="shared" si="10"/>
        <v>Under 30</v>
      </c>
      <c r="O213" t="str">
        <f t="shared" si="11"/>
        <v>2025-09</v>
      </c>
      <c r="P213" s="9">
        <f>IF(ClinicData[[#This Row],[Sex]]= "Male", ClinicData[[#This Row],[Hb_g_dL]], "")</f>
        <v>14.3</v>
      </c>
      <c r="Q213" s="8" t="str">
        <f>IF(ClinicData[[#This Row],[Sex]]="Female",ClinicData[[#This Row],[Hb_g_dL]], "")</f>
        <v/>
      </c>
    </row>
    <row r="214" spans="1:17" x14ac:dyDescent="0.2">
      <c r="A214">
        <v>1213</v>
      </c>
      <c r="B214" s="2">
        <v>45665</v>
      </c>
      <c r="C214" t="s">
        <v>15</v>
      </c>
      <c r="D214">
        <v>23</v>
      </c>
      <c r="E214" t="s">
        <v>16</v>
      </c>
      <c r="F214" t="s">
        <v>36</v>
      </c>
      <c r="G214">
        <v>11.4</v>
      </c>
      <c r="H214" t="s">
        <v>31</v>
      </c>
      <c r="I214">
        <v>38.1</v>
      </c>
      <c r="J214">
        <v>8.5</v>
      </c>
      <c r="K214">
        <v>2</v>
      </c>
      <c r="L214" t="s">
        <v>27</v>
      </c>
      <c r="M214" t="str">
        <f t="shared" si="9"/>
        <v>Anemic</v>
      </c>
      <c r="N214" t="str">
        <f t="shared" si="10"/>
        <v>Under 30</v>
      </c>
      <c r="O214" t="str">
        <f t="shared" si="11"/>
        <v>2025-01</v>
      </c>
      <c r="P214" s="9" t="str">
        <f>IF(ClinicData[[#This Row],[Sex]]= "Male", ClinicData[[#This Row],[Hb_g_dL]], "")</f>
        <v/>
      </c>
      <c r="Q214" s="8">
        <f>IF(ClinicData[[#This Row],[Sex]]="Female",ClinicData[[#This Row],[Hb_g_dL]], "")</f>
        <v>11.4</v>
      </c>
    </row>
    <row r="215" spans="1:17" x14ac:dyDescent="0.2">
      <c r="A215">
        <v>1214</v>
      </c>
      <c r="B215" s="2">
        <v>45744</v>
      </c>
      <c r="C215" t="s">
        <v>22</v>
      </c>
      <c r="D215">
        <v>35</v>
      </c>
      <c r="E215" t="s">
        <v>16</v>
      </c>
      <c r="F215" t="s">
        <v>20</v>
      </c>
      <c r="G215">
        <v>11.4</v>
      </c>
      <c r="H215" t="s">
        <v>18</v>
      </c>
      <c r="I215">
        <v>36.299999999999997</v>
      </c>
      <c r="J215">
        <v>7.3</v>
      </c>
      <c r="K215">
        <v>1</v>
      </c>
      <c r="L215" t="s">
        <v>21</v>
      </c>
      <c r="M215" t="str">
        <f t="shared" si="9"/>
        <v>Anemic</v>
      </c>
      <c r="N215" t="str">
        <f t="shared" si="10"/>
        <v>30 and Above</v>
      </c>
      <c r="O215" t="str">
        <f t="shared" si="11"/>
        <v>2025-03</v>
      </c>
      <c r="P215" s="9">
        <f>IF(ClinicData[[#This Row],[Sex]]= "Male", ClinicData[[#This Row],[Hb_g_dL]], "")</f>
        <v>11.4</v>
      </c>
      <c r="Q215" s="8" t="str">
        <f>IF(ClinicData[[#This Row],[Sex]]="Female",ClinicData[[#This Row],[Hb_g_dL]], "")</f>
        <v/>
      </c>
    </row>
    <row r="216" spans="1:17" x14ac:dyDescent="0.2">
      <c r="A216">
        <v>1215</v>
      </c>
      <c r="B216" s="2">
        <v>45680</v>
      </c>
      <c r="C216" t="s">
        <v>15</v>
      </c>
      <c r="D216">
        <v>22</v>
      </c>
      <c r="E216" t="s">
        <v>23</v>
      </c>
      <c r="F216" t="s">
        <v>26</v>
      </c>
      <c r="G216">
        <v>13.5</v>
      </c>
      <c r="H216" t="s">
        <v>18</v>
      </c>
      <c r="I216">
        <v>37</v>
      </c>
      <c r="J216">
        <v>9.6</v>
      </c>
      <c r="K216">
        <v>8</v>
      </c>
      <c r="L216" t="s">
        <v>34</v>
      </c>
      <c r="M216" t="str">
        <f t="shared" si="9"/>
        <v>Normal</v>
      </c>
      <c r="N216" t="str">
        <f t="shared" si="10"/>
        <v>Under 30</v>
      </c>
      <c r="O216" t="str">
        <f t="shared" si="11"/>
        <v>2025-01</v>
      </c>
      <c r="P216" s="9" t="str">
        <f>IF(ClinicData[[#This Row],[Sex]]= "Male", ClinicData[[#This Row],[Hb_g_dL]], "")</f>
        <v/>
      </c>
      <c r="Q216" s="8">
        <f>IF(ClinicData[[#This Row],[Sex]]="Female",ClinicData[[#This Row],[Hb_g_dL]], "")</f>
        <v>13.5</v>
      </c>
    </row>
    <row r="217" spans="1:17" x14ac:dyDescent="0.2">
      <c r="A217">
        <v>1216</v>
      </c>
      <c r="B217" s="2">
        <v>45883</v>
      </c>
      <c r="C217" t="s">
        <v>22</v>
      </c>
      <c r="D217">
        <v>2</v>
      </c>
      <c r="E217" t="s">
        <v>16</v>
      </c>
      <c r="F217" t="s">
        <v>20</v>
      </c>
      <c r="G217">
        <v>15.6</v>
      </c>
      <c r="H217" t="s">
        <v>31</v>
      </c>
      <c r="I217">
        <v>37.5</v>
      </c>
      <c r="J217">
        <v>9</v>
      </c>
      <c r="K217">
        <v>1</v>
      </c>
      <c r="L217" t="s">
        <v>19</v>
      </c>
      <c r="M217" t="str">
        <f t="shared" si="9"/>
        <v>Normal</v>
      </c>
      <c r="N217" t="str">
        <f t="shared" si="10"/>
        <v>Under 30</v>
      </c>
      <c r="O217" t="str">
        <f t="shared" si="11"/>
        <v>2025-08</v>
      </c>
      <c r="P217" s="9">
        <f>IF(ClinicData[[#This Row],[Sex]]= "Male", ClinicData[[#This Row],[Hb_g_dL]], "")</f>
        <v>15.6</v>
      </c>
      <c r="Q217" s="8" t="str">
        <f>IF(ClinicData[[#This Row],[Sex]]="Female",ClinicData[[#This Row],[Hb_g_dL]], "")</f>
        <v/>
      </c>
    </row>
    <row r="218" spans="1:17" x14ac:dyDescent="0.2">
      <c r="A218">
        <v>1217</v>
      </c>
      <c r="B218" s="2">
        <v>46011</v>
      </c>
      <c r="C218" t="s">
        <v>15</v>
      </c>
      <c r="D218">
        <v>16</v>
      </c>
      <c r="E218" t="s">
        <v>28</v>
      </c>
      <c r="F218" t="s">
        <v>26</v>
      </c>
      <c r="G218">
        <v>10.7</v>
      </c>
      <c r="H218" t="s">
        <v>18</v>
      </c>
      <c r="I218">
        <v>37.1</v>
      </c>
      <c r="J218">
        <v>11.6</v>
      </c>
      <c r="K218">
        <v>0</v>
      </c>
      <c r="L218" t="s">
        <v>19</v>
      </c>
      <c r="M218" t="str">
        <f t="shared" si="9"/>
        <v>Anemic</v>
      </c>
      <c r="N218" t="str">
        <f t="shared" si="10"/>
        <v>Under 30</v>
      </c>
      <c r="O218" t="str">
        <f t="shared" si="11"/>
        <v>2025-12</v>
      </c>
      <c r="P218" s="9" t="str">
        <f>IF(ClinicData[[#This Row],[Sex]]= "Male", ClinicData[[#This Row],[Hb_g_dL]], "")</f>
        <v/>
      </c>
      <c r="Q218" s="8">
        <f>IF(ClinicData[[#This Row],[Sex]]="Female",ClinicData[[#This Row],[Hb_g_dL]], "")</f>
        <v>10.7</v>
      </c>
    </row>
    <row r="219" spans="1:17" x14ac:dyDescent="0.2">
      <c r="A219">
        <v>1218</v>
      </c>
      <c r="B219" s="2">
        <v>46076</v>
      </c>
      <c r="C219" t="s">
        <v>15</v>
      </c>
      <c r="D219">
        <v>33</v>
      </c>
      <c r="E219" t="s">
        <v>37</v>
      </c>
      <c r="F219" t="s">
        <v>36</v>
      </c>
      <c r="G219">
        <v>11.4</v>
      </c>
      <c r="H219" t="s">
        <v>18</v>
      </c>
      <c r="I219">
        <v>37.1</v>
      </c>
      <c r="J219">
        <v>10.1</v>
      </c>
      <c r="K219">
        <v>6</v>
      </c>
      <c r="L219" t="s">
        <v>19</v>
      </c>
      <c r="M219" t="str">
        <f t="shared" si="9"/>
        <v>Anemic</v>
      </c>
      <c r="N219" t="str">
        <f t="shared" si="10"/>
        <v>30 and Above</v>
      </c>
      <c r="O219" t="str">
        <f t="shared" si="11"/>
        <v>2026-02</v>
      </c>
      <c r="P219" s="9" t="str">
        <f>IF(ClinicData[[#This Row],[Sex]]= "Male", ClinicData[[#This Row],[Hb_g_dL]], "")</f>
        <v/>
      </c>
      <c r="Q219" s="8">
        <f>IF(ClinicData[[#This Row],[Sex]]="Female",ClinicData[[#This Row],[Hb_g_dL]], "")</f>
        <v>11.4</v>
      </c>
    </row>
    <row r="220" spans="1:17" x14ac:dyDescent="0.2">
      <c r="A220">
        <v>1219</v>
      </c>
      <c r="B220" s="2">
        <v>45725</v>
      </c>
      <c r="C220" t="s">
        <v>15</v>
      </c>
      <c r="D220">
        <v>3</v>
      </c>
      <c r="E220" t="s">
        <v>37</v>
      </c>
      <c r="F220" t="s">
        <v>29</v>
      </c>
      <c r="G220">
        <v>8.5</v>
      </c>
      <c r="H220" t="s">
        <v>18</v>
      </c>
      <c r="I220">
        <v>37.5</v>
      </c>
      <c r="J220">
        <v>6.8</v>
      </c>
      <c r="K220">
        <v>6</v>
      </c>
      <c r="L220" t="s">
        <v>19</v>
      </c>
      <c r="M220" t="str">
        <f t="shared" si="9"/>
        <v>Anemic</v>
      </c>
      <c r="N220" t="str">
        <f t="shared" si="10"/>
        <v>Under 30</v>
      </c>
      <c r="O220" t="str">
        <f t="shared" si="11"/>
        <v>2025-03</v>
      </c>
      <c r="P220" s="9" t="str">
        <f>IF(ClinicData[[#This Row],[Sex]]= "Male", ClinicData[[#This Row],[Hb_g_dL]], "")</f>
        <v/>
      </c>
      <c r="Q220" s="8">
        <f>IF(ClinicData[[#This Row],[Sex]]="Female",ClinicData[[#This Row],[Hb_g_dL]], "")</f>
        <v>8.5</v>
      </c>
    </row>
    <row r="221" spans="1:17" x14ac:dyDescent="0.2">
      <c r="A221">
        <v>1220</v>
      </c>
      <c r="B221" s="2">
        <v>45668</v>
      </c>
      <c r="C221" t="s">
        <v>22</v>
      </c>
      <c r="D221">
        <v>16</v>
      </c>
      <c r="E221" t="s">
        <v>25</v>
      </c>
      <c r="F221" t="s">
        <v>26</v>
      </c>
      <c r="G221">
        <v>12</v>
      </c>
      <c r="H221" t="s">
        <v>31</v>
      </c>
      <c r="I221">
        <v>38.6</v>
      </c>
      <c r="J221">
        <v>7.4</v>
      </c>
      <c r="K221">
        <v>10</v>
      </c>
      <c r="L221" t="s">
        <v>27</v>
      </c>
      <c r="M221" t="str">
        <f t="shared" si="9"/>
        <v>Normal</v>
      </c>
      <c r="N221" t="str">
        <f t="shared" si="10"/>
        <v>Under 30</v>
      </c>
      <c r="O221" t="str">
        <f t="shared" si="11"/>
        <v>2025-01</v>
      </c>
      <c r="P221" s="9">
        <f>IF(ClinicData[[#This Row],[Sex]]= "Male", ClinicData[[#This Row],[Hb_g_dL]], "")</f>
        <v>12</v>
      </c>
      <c r="Q221" s="8" t="str">
        <f>IF(ClinicData[[#This Row],[Sex]]="Female",ClinicData[[#This Row],[Hb_g_dL]], "")</f>
        <v/>
      </c>
    </row>
    <row r="222" spans="1:17" x14ac:dyDescent="0.2">
      <c r="A222">
        <v>1221</v>
      </c>
      <c r="B222" s="2">
        <v>46015</v>
      </c>
      <c r="C222" t="s">
        <v>22</v>
      </c>
      <c r="D222">
        <v>32</v>
      </c>
      <c r="E222" t="s">
        <v>25</v>
      </c>
      <c r="F222" t="s">
        <v>17</v>
      </c>
      <c r="G222">
        <v>10.7</v>
      </c>
      <c r="H222" t="s">
        <v>18</v>
      </c>
      <c r="I222">
        <v>36.700000000000003</v>
      </c>
      <c r="J222">
        <v>8.9</v>
      </c>
      <c r="K222">
        <v>4</v>
      </c>
      <c r="L222" t="s">
        <v>27</v>
      </c>
      <c r="M222" t="str">
        <f t="shared" si="9"/>
        <v>Anemic</v>
      </c>
      <c r="N222" t="str">
        <f t="shared" si="10"/>
        <v>30 and Above</v>
      </c>
      <c r="O222" t="str">
        <f t="shared" si="11"/>
        <v>2025-12</v>
      </c>
      <c r="P222" s="9">
        <f>IF(ClinicData[[#This Row],[Sex]]= "Male", ClinicData[[#This Row],[Hb_g_dL]], "")</f>
        <v>10.7</v>
      </c>
      <c r="Q222" s="8" t="str">
        <f>IF(ClinicData[[#This Row],[Sex]]="Female",ClinicData[[#This Row],[Hb_g_dL]], "")</f>
        <v/>
      </c>
    </row>
    <row r="223" spans="1:17" x14ac:dyDescent="0.2">
      <c r="A223">
        <v>1222</v>
      </c>
      <c r="B223" s="2">
        <v>46006</v>
      </c>
      <c r="C223" t="s">
        <v>22</v>
      </c>
      <c r="D223">
        <v>22</v>
      </c>
      <c r="E223" t="s">
        <v>37</v>
      </c>
      <c r="F223" t="s">
        <v>20</v>
      </c>
      <c r="G223">
        <v>14.9</v>
      </c>
      <c r="H223" t="s">
        <v>18</v>
      </c>
      <c r="I223">
        <v>36.9</v>
      </c>
      <c r="J223">
        <v>5.6</v>
      </c>
      <c r="K223">
        <v>6</v>
      </c>
      <c r="L223" t="s">
        <v>27</v>
      </c>
      <c r="M223" t="str">
        <f t="shared" si="9"/>
        <v>Normal</v>
      </c>
      <c r="N223" t="str">
        <f t="shared" si="10"/>
        <v>Under 30</v>
      </c>
      <c r="O223" t="str">
        <f t="shared" si="11"/>
        <v>2025-12</v>
      </c>
      <c r="P223" s="9">
        <f>IF(ClinicData[[#This Row],[Sex]]= "Male", ClinicData[[#This Row],[Hb_g_dL]], "")</f>
        <v>14.9</v>
      </c>
      <c r="Q223" s="8" t="str">
        <f>IF(ClinicData[[#This Row],[Sex]]="Female",ClinicData[[#This Row],[Hb_g_dL]], "")</f>
        <v/>
      </c>
    </row>
    <row r="224" spans="1:17" x14ac:dyDescent="0.2">
      <c r="A224">
        <v>1223</v>
      </c>
      <c r="B224" s="2">
        <v>46058</v>
      </c>
      <c r="C224" t="s">
        <v>22</v>
      </c>
      <c r="D224">
        <v>29</v>
      </c>
      <c r="E224" t="s">
        <v>28</v>
      </c>
      <c r="F224" t="s">
        <v>26</v>
      </c>
      <c r="G224">
        <v>13.7</v>
      </c>
      <c r="H224" t="s">
        <v>31</v>
      </c>
      <c r="I224">
        <v>37.4</v>
      </c>
      <c r="J224">
        <v>8.1999999999999993</v>
      </c>
      <c r="K224">
        <v>2</v>
      </c>
      <c r="L224" t="s">
        <v>21</v>
      </c>
      <c r="M224" t="str">
        <f t="shared" si="9"/>
        <v>Normal</v>
      </c>
      <c r="N224" t="str">
        <f t="shared" si="10"/>
        <v>Under 30</v>
      </c>
      <c r="O224" t="str">
        <f t="shared" si="11"/>
        <v>2026-02</v>
      </c>
      <c r="P224" s="9">
        <f>IF(ClinicData[[#This Row],[Sex]]= "Male", ClinicData[[#This Row],[Hb_g_dL]], "")</f>
        <v>13.7</v>
      </c>
      <c r="Q224" s="8" t="str">
        <f>IF(ClinicData[[#This Row],[Sex]]="Female",ClinicData[[#This Row],[Hb_g_dL]], "")</f>
        <v/>
      </c>
    </row>
    <row r="225" spans="1:17" x14ac:dyDescent="0.2">
      <c r="A225">
        <v>1224</v>
      </c>
      <c r="B225" s="2">
        <v>45744</v>
      </c>
      <c r="C225" t="s">
        <v>15</v>
      </c>
      <c r="D225">
        <v>12</v>
      </c>
      <c r="E225" t="s">
        <v>28</v>
      </c>
      <c r="F225" t="s">
        <v>29</v>
      </c>
      <c r="G225">
        <v>8.9</v>
      </c>
      <c r="H225" t="s">
        <v>18</v>
      </c>
      <c r="I225">
        <v>36.799999999999997</v>
      </c>
      <c r="J225">
        <v>6.7</v>
      </c>
      <c r="K225">
        <v>0</v>
      </c>
      <c r="L225" t="s">
        <v>19</v>
      </c>
      <c r="M225" t="str">
        <f t="shared" si="9"/>
        <v>Anemic</v>
      </c>
      <c r="N225" t="str">
        <f t="shared" si="10"/>
        <v>Under 30</v>
      </c>
      <c r="O225" t="str">
        <f t="shared" si="11"/>
        <v>2025-03</v>
      </c>
      <c r="P225" s="9" t="str">
        <f>IF(ClinicData[[#This Row],[Sex]]= "Male", ClinicData[[#This Row],[Hb_g_dL]], "")</f>
        <v/>
      </c>
      <c r="Q225" s="9">
        <f>IF(ClinicData[[#This Row],[Sex]]="Female",ClinicData[[#This Row],[Hb_g_dL]], "")</f>
        <v>8.9</v>
      </c>
    </row>
    <row r="226" spans="1:17" x14ac:dyDescent="0.2">
      <c r="A226">
        <v>1225</v>
      </c>
      <c r="B226" s="2">
        <v>45838</v>
      </c>
      <c r="C226" t="s">
        <v>15</v>
      </c>
      <c r="D226">
        <v>26</v>
      </c>
      <c r="E226" t="s">
        <v>25</v>
      </c>
      <c r="F226" t="s">
        <v>35</v>
      </c>
      <c r="G226">
        <v>14</v>
      </c>
      <c r="H226" t="s">
        <v>18</v>
      </c>
      <c r="I226">
        <v>37.299999999999997</v>
      </c>
      <c r="J226">
        <v>10.1</v>
      </c>
      <c r="K226">
        <v>5</v>
      </c>
      <c r="L226" t="s">
        <v>21</v>
      </c>
      <c r="M226" t="str">
        <f t="shared" si="9"/>
        <v>Normal</v>
      </c>
      <c r="N226" t="str">
        <f t="shared" si="10"/>
        <v>Under 30</v>
      </c>
      <c r="O226" t="str">
        <f t="shared" si="11"/>
        <v>2025-06</v>
      </c>
      <c r="P226" s="9" t="str">
        <f>IF(ClinicData[[#This Row],[Sex]]= "Male", ClinicData[[#This Row],[Hb_g_dL]], "")</f>
        <v/>
      </c>
      <c r="Q226" s="9">
        <f>IF(ClinicData[[#This Row],[Sex]]="Female",ClinicData[[#This Row],[Hb_g_dL]], "")</f>
        <v>14</v>
      </c>
    </row>
    <row r="227" spans="1:17" x14ac:dyDescent="0.2">
      <c r="A227">
        <v>1226</v>
      </c>
      <c r="B227" s="2">
        <v>45978</v>
      </c>
      <c r="C227" t="s">
        <v>22</v>
      </c>
      <c r="D227">
        <v>23</v>
      </c>
      <c r="E227" t="s">
        <v>16</v>
      </c>
      <c r="F227" t="s">
        <v>35</v>
      </c>
      <c r="G227">
        <v>10.4</v>
      </c>
      <c r="H227" t="s">
        <v>31</v>
      </c>
      <c r="I227">
        <v>37.299999999999997</v>
      </c>
      <c r="J227">
        <v>9.9</v>
      </c>
      <c r="K227">
        <v>0</v>
      </c>
      <c r="L227" t="s">
        <v>21</v>
      </c>
      <c r="M227" t="str">
        <f t="shared" si="9"/>
        <v>Anemic</v>
      </c>
      <c r="N227" t="str">
        <f t="shared" si="10"/>
        <v>Under 30</v>
      </c>
      <c r="O227" t="str">
        <f t="shared" si="11"/>
        <v>2025-11</v>
      </c>
      <c r="P227" s="9">
        <f>IF(ClinicData[[#This Row],[Sex]]= "Male", ClinicData[[#This Row],[Hb_g_dL]], "")</f>
        <v>10.4</v>
      </c>
      <c r="Q227" s="9" t="str">
        <f>IF(ClinicData[[#This Row],[Sex]]="Female",ClinicData[[#This Row],[Hb_g_dL]], "")</f>
        <v/>
      </c>
    </row>
    <row r="228" spans="1:17" x14ac:dyDescent="0.2">
      <c r="A228">
        <v>1227</v>
      </c>
      <c r="B228" s="2">
        <v>45698</v>
      </c>
      <c r="C228" t="s">
        <v>22</v>
      </c>
      <c r="D228">
        <v>47</v>
      </c>
      <c r="E228" t="s">
        <v>23</v>
      </c>
      <c r="F228" t="s">
        <v>29</v>
      </c>
      <c r="G228">
        <v>10.8</v>
      </c>
      <c r="H228" t="s">
        <v>31</v>
      </c>
      <c r="I228">
        <v>38.9</v>
      </c>
      <c r="J228">
        <v>9.4</v>
      </c>
      <c r="K228">
        <v>1</v>
      </c>
      <c r="L228" t="s">
        <v>19</v>
      </c>
      <c r="M228" t="str">
        <f t="shared" si="9"/>
        <v>Anemic</v>
      </c>
      <c r="N228" t="str">
        <f t="shared" si="10"/>
        <v>30 and Above</v>
      </c>
      <c r="O228" t="str">
        <f t="shared" si="11"/>
        <v>2025-02</v>
      </c>
      <c r="P228" s="9">
        <f>IF(ClinicData[[#This Row],[Sex]]= "Male", ClinicData[[#This Row],[Hb_g_dL]], "")</f>
        <v>10.8</v>
      </c>
      <c r="Q228" s="9" t="str">
        <f>IF(ClinicData[[#This Row],[Sex]]="Female",ClinicData[[#This Row],[Hb_g_dL]], "")</f>
        <v/>
      </c>
    </row>
    <row r="229" spans="1:17" x14ac:dyDescent="0.2">
      <c r="A229">
        <v>1228</v>
      </c>
      <c r="B229" s="2">
        <v>46005</v>
      </c>
      <c r="C229" t="s">
        <v>15</v>
      </c>
      <c r="D229">
        <v>14</v>
      </c>
      <c r="E229" t="s">
        <v>28</v>
      </c>
      <c r="F229" t="s">
        <v>26</v>
      </c>
      <c r="G229">
        <v>12.6</v>
      </c>
      <c r="H229" t="s">
        <v>18</v>
      </c>
      <c r="I229">
        <v>36.6</v>
      </c>
      <c r="J229">
        <v>9.6999999999999993</v>
      </c>
      <c r="K229">
        <v>2</v>
      </c>
      <c r="L229" t="s">
        <v>19</v>
      </c>
      <c r="M229" t="str">
        <f t="shared" si="9"/>
        <v>Normal</v>
      </c>
      <c r="N229" t="str">
        <f t="shared" si="10"/>
        <v>Under 30</v>
      </c>
      <c r="O229" t="str">
        <f t="shared" si="11"/>
        <v>2025-12</v>
      </c>
      <c r="P229" s="9" t="str">
        <f>IF(ClinicData[[#This Row],[Sex]]= "Male", ClinicData[[#This Row],[Hb_g_dL]], "")</f>
        <v/>
      </c>
      <c r="Q229" s="9">
        <f>IF(ClinicData[[#This Row],[Sex]]="Female",ClinicData[[#This Row],[Hb_g_dL]], "")</f>
        <v>12.6</v>
      </c>
    </row>
    <row r="230" spans="1:17" x14ac:dyDescent="0.2">
      <c r="A230">
        <v>1229</v>
      </c>
      <c r="B230" s="2">
        <v>45895</v>
      </c>
      <c r="C230" t="s">
        <v>15</v>
      </c>
      <c r="D230">
        <v>6</v>
      </c>
      <c r="E230" t="s">
        <v>23</v>
      </c>
      <c r="F230" t="s">
        <v>36</v>
      </c>
      <c r="G230">
        <v>10</v>
      </c>
      <c r="H230" t="s">
        <v>31</v>
      </c>
      <c r="I230">
        <v>37.4</v>
      </c>
      <c r="J230">
        <v>8.6</v>
      </c>
      <c r="K230">
        <v>3</v>
      </c>
      <c r="L230" t="s">
        <v>21</v>
      </c>
      <c r="M230" t="str">
        <f t="shared" si="9"/>
        <v>Anemic</v>
      </c>
      <c r="N230" t="str">
        <f t="shared" si="10"/>
        <v>Under 30</v>
      </c>
      <c r="O230" t="str">
        <f t="shared" si="11"/>
        <v>2025-08</v>
      </c>
      <c r="P230" s="9" t="str">
        <f>IF(ClinicData[[#This Row],[Sex]]= "Male", ClinicData[[#This Row],[Hb_g_dL]], "")</f>
        <v/>
      </c>
      <c r="Q230" s="9">
        <f>IF(ClinicData[[#This Row],[Sex]]="Female",ClinicData[[#This Row],[Hb_g_dL]], "")</f>
        <v>10</v>
      </c>
    </row>
    <row r="231" spans="1:17" x14ac:dyDescent="0.2">
      <c r="A231">
        <v>1230</v>
      </c>
      <c r="B231" s="2">
        <v>45841</v>
      </c>
      <c r="C231" t="s">
        <v>15</v>
      </c>
      <c r="D231">
        <v>32</v>
      </c>
      <c r="E231" t="s">
        <v>23</v>
      </c>
      <c r="F231" t="s">
        <v>17</v>
      </c>
      <c r="G231">
        <v>11.3</v>
      </c>
      <c r="H231" t="s">
        <v>18</v>
      </c>
      <c r="I231">
        <v>36.299999999999997</v>
      </c>
      <c r="J231">
        <v>5.7</v>
      </c>
      <c r="K231">
        <v>5</v>
      </c>
      <c r="L231" t="s">
        <v>19</v>
      </c>
      <c r="M231" t="str">
        <f t="shared" si="9"/>
        <v>Anemic</v>
      </c>
      <c r="N231" t="str">
        <f t="shared" si="10"/>
        <v>30 and Above</v>
      </c>
      <c r="O231" t="str">
        <f t="shared" si="11"/>
        <v>2025-07</v>
      </c>
      <c r="P231" s="9" t="str">
        <f>IF(ClinicData[[#This Row],[Sex]]= "Male", ClinicData[[#This Row],[Hb_g_dL]], "")</f>
        <v/>
      </c>
      <c r="Q231" s="9">
        <f>IF(ClinicData[[#This Row],[Sex]]="Female",ClinicData[[#This Row],[Hb_g_dL]], "")</f>
        <v>11.3</v>
      </c>
    </row>
    <row r="232" spans="1:17" x14ac:dyDescent="0.2">
      <c r="A232">
        <v>1231</v>
      </c>
      <c r="B232" s="2">
        <v>45674</v>
      </c>
      <c r="C232" t="s">
        <v>15</v>
      </c>
      <c r="D232">
        <v>46</v>
      </c>
      <c r="E232" t="s">
        <v>25</v>
      </c>
      <c r="F232" t="s">
        <v>36</v>
      </c>
      <c r="G232">
        <v>12.1</v>
      </c>
      <c r="H232" t="s">
        <v>18</v>
      </c>
      <c r="I232">
        <v>37.700000000000003</v>
      </c>
      <c r="J232">
        <v>8.6</v>
      </c>
      <c r="K232">
        <v>1</v>
      </c>
      <c r="L232" t="s">
        <v>19</v>
      </c>
      <c r="M232" t="str">
        <f t="shared" si="9"/>
        <v>Normal</v>
      </c>
      <c r="N232" t="str">
        <f t="shared" si="10"/>
        <v>30 and Above</v>
      </c>
      <c r="O232" t="str">
        <f t="shared" si="11"/>
        <v>2025-01</v>
      </c>
      <c r="P232" s="9" t="str">
        <f>IF(ClinicData[[#This Row],[Sex]]= "Male", ClinicData[[#This Row],[Hb_g_dL]], "")</f>
        <v/>
      </c>
      <c r="Q232" s="9">
        <f>IF(ClinicData[[#This Row],[Sex]]="Female",ClinicData[[#This Row],[Hb_g_dL]], "")</f>
        <v>12.1</v>
      </c>
    </row>
    <row r="233" spans="1:17" x14ac:dyDescent="0.2">
      <c r="A233">
        <v>1232</v>
      </c>
      <c r="B233" s="2">
        <v>46072</v>
      </c>
      <c r="C233" t="s">
        <v>15</v>
      </c>
      <c r="D233">
        <v>26</v>
      </c>
      <c r="E233" t="s">
        <v>33</v>
      </c>
      <c r="F233" t="s">
        <v>20</v>
      </c>
      <c r="G233">
        <v>12.7</v>
      </c>
      <c r="H233" t="s">
        <v>18</v>
      </c>
      <c r="I233">
        <v>37.1</v>
      </c>
      <c r="J233">
        <v>8</v>
      </c>
      <c r="K233">
        <v>9</v>
      </c>
      <c r="L233" t="s">
        <v>19</v>
      </c>
      <c r="M233" t="str">
        <f t="shared" si="9"/>
        <v>Normal</v>
      </c>
      <c r="N233" t="str">
        <f t="shared" si="10"/>
        <v>Under 30</v>
      </c>
      <c r="O233" t="str">
        <f t="shared" si="11"/>
        <v>2026-02</v>
      </c>
      <c r="P233" s="9" t="str">
        <f>IF(ClinicData[[#This Row],[Sex]]= "Male", ClinicData[[#This Row],[Hb_g_dL]], "")</f>
        <v/>
      </c>
      <c r="Q233" s="9">
        <f>IF(ClinicData[[#This Row],[Sex]]="Female",ClinicData[[#This Row],[Hb_g_dL]], "")</f>
        <v>12.7</v>
      </c>
    </row>
    <row r="234" spans="1:17" x14ac:dyDescent="0.2">
      <c r="A234">
        <v>1233</v>
      </c>
      <c r="B234" s="2">
        <v>45968</v>
      </c>
      <c r="C234" t="s">
        <v>22</v>
      </c>
      <c r="D234">
        <v>3</v>
      </c>
      <c r="E234" t="s">
        <v>37</v>
      </c>
      <c r="F234" t="s">
        <v>32</v>
      </c>
      <c r="G234">
        <v>14.1</v>
      </c>
      <c r="H234" t="s">
        <v>18</v>
      </c>
      <c r="I234">
        <v>36.5</v>
      </c>
      <c r="J234">
        <v>7.1</v>
      </c>
      <c r="K234">
        <v>4</v>
      </c>
      <c r="L234" t="s">
        <v>21</v>
      </c>
      <c r="M234" t="str">
        <f t="shared" si="9"/>
        <v>Normal</v>
      </c>
      <c r="N234" t="str">
        <f t="shared" si="10"/>
        <v>Under 30</v>
      </c>
      <c r="O234" t="str">
        <f t="shared" si="11"/>
        <v>2025-11</v>
      </c>
      <c r="P234" s="9">
        <f>IF(ClinicData[[#This Row],[Sex]]= "Male", ClinicData[[#This Row],[Hb_g_dL]], "")</f>
        <v>14.1</v>
      </c>
      <c r="Q234" s="9" t="str">
        <f>IF(ClinicData[[#This Row],[Sex]]="Female",ClinicData[[#This Row],[Hb_g_dL]], "")</f>
        <v/>
      </c>
    </row>
    <row r="235" spans="1:17" x14ac:dyDescent="0.2">
      <c r="A235">
        <v>1234</v>
      </c>
      <c r="B235" s="2">
        <v>45767</v>
      </c>
      <c r="C235" t="s">
        <v>15</v>
      </c>
      <c r="D235">
        <v>33</v>
      </c>
      <c r="E235" t="s">
        <v>28</v>
      </c>
      <c r="F235" t="s">
        <v>36</v>
      </c>
      <c r="G235">
        <v>9.9</v>
      </c>
      <c r="H235" t="s">
        <v>31</v>
      </c>
      <c r="I235">
        <v>38.799999999999997</v>
      </c>
      <c r="J235">
        <v>8.8000000000000007</v>
      </c>
      <c r="K235">
        <v>1</v>
      </c>
      <c r="L235" t="s">
        <v>21</v>
      </c>
      <c r="M235" t="str">
        <f t="shared" si="9"/>
        <v>Anemic</v>
      </c>
      <c r="N235" t="str">
        <f t="shared" si="10"/>
        <v>30 and Above</v>
      </c>
      <c r="O235" t="str">
        <f t="shared" si="11"/>
        <v>2025-04</v>
      </c>
      <c r="P235" s="9" t="str">
        <f>IF(ClinicData[[#This Row],[Sex]]= "Male", ClinicData[[#This Row],[Hb_g_dL]], "")</f>
        <v/>
      </c>
      <c r="Q235" s="9">
        <f>IF(ClinicData[[#This Row],[Sex]]="Female",ClinicData[[#This Row],[Hb_g_dL]], "")</f>
        <v>9.9</v>
      </c>
    </row>
    <row r="236" spans="1:17" x14ac:dyDescent="0.2">
      <c r="A236">
        <v>1235</v>
      </c>
      <c r="B236" s="2">
        <v>45837</v>
      </c>
      <c r="C236" t="s">
        <v>22</v>
      </c>
      <c r="D236">
        <v>16</v>
      </c>
      <c r="E236" t="s">
        <v>30</v>
      </c>
      <c r="F236" t="s">
        <v>17</v>
      </c>
      <c r="G236">
        <v>15</v>
      </c>
      <c r="H236" t="s">
        <v>31</v>
      </c>
      <c r="I236">
        <v>38</v>
      </c>
      <c r="J236">
        <v>9.8000000000000007</v>
      </c>
      <c r="K236">
        <v>4</v>
      </c>
      <c r="L236" t="s">
        <v>19</v>
      </c>
      <c r="M236" t="str">
        <f t="shared" si="9"/>
        <v>Normal</v>
      </c>
      <c r="N236" t="str">
        <f t="shared" si="10"/>
        <v>Under 30</v>
      </c>
      <c r="O236" t="str">
        <f t="shared" si="11"/>
        <v>2025-06</v>
      </c>
      <c r="P236" s="9">
        <f>IF(ClinicData[[#This Row],[Sex]]= "Male", ClinicData[[#This Row],[Hb_g_dL]], "")</f>
        <v>15</v>
      </c>
      <c r="Q236" s="9" t="str">
        <f>IF(ClinicData[[#This Row],[Sex]]="Female",ClinicData[[#This Row],[Hb_g_dL]], "")</f>
        <v/>
      </c>
    </row>
    <row r="237" spans="1:17" x14ac:dyDescent="0.2">
      <c r="A237">
        <v>1236</v>
      </c>
      <c r="B237" s="2">
        <v>45875</v>
      </c>
      <c r="C237" t="s">
        <v>15</v>
      </c>
      <c r="D237">
        <v>37</v>
      </c>
      <c r="E237" t="s">
        <v>23</v>
      </c>
      <c r="F237" t="s">
        <v>26</v>
      </c>
      <c r="G237">
        <v>12.4</v>
      </c>
      <c r="H237" t="s">
        <v>18</v>
      </c>
      <c r="I237">
        <v>37.299999999999997</v>
      </c>
      <c r="J237">
        <v>6.2</v>
      </c>
      <c r="K237">
        <v>3</v>
      </c>
      <c r="L237" t="s">
        <v>19</v>
      </c>
      <c r="M237" t="str">
        <f t="shared" si="9"/>
        <v>Normal</v>
      </c>
      <c r="N237" t="str">
        <f t="shared" si="10"/>
        <v>30 and Above</v>
      </c>
      <c r="O237" t="str">
        <f t="shared" si="11"/>
        <v>2025-08</v>
      </c>
      <c r="P237" s="9" t="str">
        <f>IF(ClinicData[[#This Row],[Sex]]= "Male", ClinicData[[#This Row],[Hb_g_dL]], "")</f>
        <v/>
      </c>
      <c r="Q237" s="9">
        <f>IF(ClinicData[[#This Row],[Sex]]="Female",ClinicData[[#This Row],[Hb_g_dL]], "")</f>
        <v>12.4</v>
      </c>
    </row>
    <row r="238" spans="1:17" x14ac:dyDescent="0.2">
      <c r="A238">
        <v>1237</v>
      </c>
      <c r="B238" s="2">
        <v>45827</v>
      </c>
      <c r="C238" t="s">
        <v>22</v>
      </c>
      <c r="D238">
        <v>29</v>
      </c>
      <c r="E238" t="s">
        <v>23</v>
      </c>
      <c r="F238" t="s">
        <v>36</v>
      </c>
      <c r="G238">
        <v>14.7</v>
      </c>
      <c r="H238" t="s">
        <v>31</v>
      </c>
      <c r="I238">
        <v>38.200000000000003</v>
      </c>
      <c r="J238">
        <v>3.3</v>
      </c>
      <c r="K238">
        <v>6</v>
      </c>
      <c r="L238" t="s">
        <v>21</v>
      </c>
      <c r="M238" t="str">
        <f t="shared" si="9"/>
        <v>Normal</v>
      </c>
      <c r="N238" t="str">
        <f t="shared" si="10"/>
        <v>Under 30</v>
      </c>
      <c r="O238" t="str">
        <f t="shared" si="11"/>
        <v>2025-06</v>
      </c>
      <c r="P238" s="9">
        <f>IF(ClinicData[[#This Row],[Sex]]= "Male", ClinicData[[#This Row],[Hb_g_dL]], "")</f>
        <v>14.7</v>
      </c>
      <c r="Q238" s="9" t="str">
        <f>IF(ClinicData[[#This Row],[Sex]]="Female",ClinicData[[#This Row],[Hb_g_dL]], "")</f>
        <v/>
      </c>
    </row>
    <row r="239" spans="1:17" x14ac:dyDescent="0.2">
      <c r="A239">
        <v>1238</v>
      </c>
      <c r="B239" s="2">
        <v>45882</v>
      </c>
      <c r="C239" t="s">
        <v>22</v>
      </c>
      <c r="D239">
        <v>39</v>
      </c>
      <c r="E239" t="s">
        <v>16</v>
      </c>
      <c r="F239" t="s">
        <v>26</v>
      </c>
      <c r="G239">
        <v>13.7</v>
      </c>
      <c r="H239" t="s">
        <v>18</v>
      </c>
      <c r="I239">
        <v>38.299999999999997</v>
      </c>
      <c r="J239">
        <v>7.8</v>
      </c>
      <c r="K239">
        <v>0</v>
      </c>
      <c r="L239" t="s">
        <v>19</v>
      </c>
      <c r="M239" t="str">
        <f t="shared" si="9"/>
        <v>Normal</v>
      </c>
      <c r="N239" t="str">
        <f t="shared" si="10"/>
        <v>30 and Above</v>
      </c>
      <c r="O239" t="str">
        <f t="shared" si="11"/>
        <v>2025-08</v>
      </c>
      <c r="P239" s="9">
        <f>IF(ClinicData[[#This Row],[Sex]]= "Male", ClinicData[[#This Row],[Hb_g_dL]], "")</f>
        <v>13.7</v>
      </c>
      <c r="Q239" s="9" t="str">
        <f>IF(ClinicData[[#This Row],[Sex]]="Female",ClinicData[[#This Row],[Hb_g_dL]], "")</f>
        <v/>
      </c>
    </row>
    <row r="240" spans="1:17" x14ac:dyDescent="0.2">
      <c r="A240">
        <v>1239</v>
      </c>
      <c r="B240" s="2">
        <v>45838</v>
      </c>
      <c r="C240" t="s">
        <v>22</v>
      </c>
      <c r="D240">
        <v>11</v>
      </c>
      <c r="E240" t="s">
        <v>28</v>
      </c>
      <c r="F240" t="s">
        <v>35</v>
      </c>
      <c r="G240">
        <v>12.9</v>
      </c>
      <c r="H240" t="s">
        <v>18</v>
      </c>
      <c r="I240">
        <v>36.5</v>
      </c>
      <c r="J240">
        <v>6.3</v>
      </c>
      <c r="K240">
        <v>2</v>
      </c>
      <c r="L240" t="s">
        <v>19</v>
      </c>
      <c r="M240" t="str">
        <f t="shared" si="9"/>
        <v>Normal</v>
      </c>
      <c r="N240" t="str">
        <f t="shared" si="10"/>
        <v>Under 30</v>
      </c>
      <c r="O240" t="str">
        <f t="shared" si="11"/>
        <v>2025-06</v>
      </c>
      <c r="P240" s="9">
        <f>IF(ClinicData[[#This Row],[Sex]]= "Male", ClinicData[[#This Row],[Hb_g_dL]], "")</f>
        <v>12.9</v>
      </c>
      <c r="Q240" s="9" t="str">
        <f>IF(ClinicData[[#This Row],[Sex]]="Female",ClinicData[[#This Row],[Hb_g_dL]], "")</f>
        <v/>
      </c>
    </row>
    <row r="241" spans="1:17" x14ac:dyDescent="0.2">
      <c r="A241">
        <v>1240</v>
      </c>
      <c r="B241" s="2">
        <v>46063</v>
      </c>
      <c r="C241" t="s">
        <v>15</v>
      </c>
      <c r="D241">
        <v>3</v>
      </c>
      <c r="E241" t="s">
        <v>23</v>
      </c>
      <c r="F241" t="s">
        <v>20</v>
      </c>
      <c r="G241">
        <v>15.1</v>
      </c>
      <c r="H241" t="s">
        <v>18</v>
      </c>
      <c r="I241">
        <v>37.1</v>
      </c>
      <c r="J241">
        <v>7.8</v>
      </c>
      <c r="K241">
        <v>6</v>
      </c>
      <c r="L241" t="s">
        <v>19</v>
      </c>
      <c r="M241" t="str">
        <f t="shared" si="9"/>
        <v>Normal</v>
      </c>
      <c r="N241" t="str">
        <f t="shared" si="10"/>
        <v>Under 30</v>
      </c>
      <c r="O241" t="str">
        <f t="shared" si="11"/>
        <v>2026-02</v>
      </c>
      <c r="P241" s="9" t="str">
        <f>IF(ClinicData[[#This Row],[Sex]]= "Male", ClinicData[[#This Row],[Hb_g_dL]], "")</f>
        <v/>
      </c>
      <c r="Q241" s="9">
        <f>IF(ClinicData[[#This Row],[Sex]]="Female",ClinicData[[#This Row],[Hb_g_dL]], "")</f>
        <v>15.1</v>
      </c>
    </row>
    <row r="242" spans="1:17" x14ac:dyDescent="0.2">
      <c r="A242">
        <v>1241</v>
      </c>
      <c r="B242" s="2">
        <v>45907</v>
      </c>
      <c r="C242" t="s">
        <v>15</v>
      </c>
      <c r="D242">
        <v>37</v>
      </c>
      <c r="E242" t="s">
        <v>23</v>
      </c>
      <c r="F242" t="s">
        <v>17</v>
      </c>
      <c r="G242">
        <v>12.4</v>
      </c>
      <c r="H242" t="s">
        <v>18</v>
      </c>
      <c r="I242">
        <v>37.700000000000003</v>
      </c>
      <c r="J242">
        <v>7.4</v>
      </c>
      <c r="K242">
        <v>8</v>
      </c>
      <c r="L242" t="s">
        <v>19</v>
      </c>
      <c r="M242" t="str">
        <f t="shared" si="9"/>
        <v>Normal</v>
      </c>
      <c r="N242" t="str">
        <f t="shared" si="10"/>
        <v>30 and Above</v>
      </c>
      <c r="O242" t="str">
        <f t="shared" si="11"/>
        <v>2025-09</v>
      </c>
      <c r="P242" s="9" t="str">
        <f>IF(ClinicData[[#This Row],[Sex]]= "Male", ClinicData[[#This Row],[Hb_g_dL]], "")</f>
        <v/>
      </c>
      <c r="Q242" s="9">
        <f>IF(ClinicData[[#This Row],[Sex]]="Female",ClinicData[[#This Row],[Hb_g_dL]], "")</f>
        <v>12.4</v>
      </c>
    </row>
    <row r="243" spans="1:17" x14ac:dyDescent="0.2">
      <c r="A243">
        <v>1242</v>
      </c>
      <c r="B243" s="2">
        <v>45768</v>
      </c>
      <c r="C243" t="s">
        <v>15</v>
      </c>
      <c r="D243">
        <v>29</v>
      </c>
      <c r="E243" t="s">
        <v>25</v>
      </c>
      <c r="F243" t="s">
        <v>26</v>
      </c>
      <c r="G243">
        <v>11.8</v>
      </c>
      <c r="H243" t="s">
        <v>31</v>
      </c>
      <c r="I243">
        <v>38.1</v>
      </c>
      <c r="J243">
        <v>8.1999999999999993</v>
      </c>
      <c r="K243">
        <v>9</v>
      </c>
      <c r="L243" t="s">
        <v>19</v>
      </c>
      <c r="M243" t="str">
        <f t="shared" si="9"/>
        <v>Anemic</v>
      </c>
      <c r="N243" t="str">
        <f t="shared" si="10"/>
        <v>Under 30</v>
      </c>
      <c r="O243" t="str">
        <f t="shared" si="11"/>
        <v>2025-04</v>
      </c>
      <c r="P243" s="9" t="str">
        <f>IF(ClinicData[[#This Row],[Sex]]= "Male", ClinicData[[#This Row],[Hb_g_dL]], "")</f>
        <v/>
      </c>
      <c r="Q243" s="9">
        <f>IF(ClinicData[[#This Row],[Sex]]="Female",ClinicData[[#This Row],[Hb_g_dL]], "")</f>
        <v>11.8</v>
      </c>
    </row>
    <row r="244" spans="1:17" x14ac:dyDescent="0.2">
      <c r="A244">
        <v>1243</v>
      </c>
      <c r="B244" s="2">
        <v>45824</v>
      </c>
      <c r="C244" t="s">
        <v>15</v>
      </c>
      <c r="D244">
        <v>16</v>
      </c>
      <c r="E244" t="s">
        <v>25</v>
      </c>
      <c r="F244" t="s">
        <v>36</v>
      </c>
      <c r="G244">
        <v>11.9</v>
      </c>
      <c r="H244" t="s">
        <v>18</v>
      </c>
      <c r="I244">
        <v>36.9</v>
      </c>
      <c r="J244">
        <v>5.3</v>
      </c>
      <c r="K244">
        <v>6</v>
      </c>
      <c r="L244" t="s">
        <v>19</v>
      </c>
      <c r="M244" t="str">
        <f t="shared" si="9"/>
        <v>Anemic</v>
      </c>
      <c r="N244" t="str">
        <f t="shared" si="10"/>
        <v>Under 30</v>
      </c>
      <c r="O244" t="str">
        <f t="shared" si="11"/>
        <v>2025-06</v>
      </c>
      <c r="P244" s="9" t="str">
        <f>IF(ClinicData[[#This Row],[Sex]]= "Male", ClinicData[[#This Row],[Hb_g_dL]], "")</f>
        <v/>
      </c>
      <c r="Q244" s="9">
        <f>IF(ClinicData[[#This Row],[Sex]]="Female",ClinicData[[#This Row],[Hb_g_dL]], "")</f>
        <v>11.9</v>
      </c>
    </row>
    <row r="245" spans="1:17" x14ac:dyDescent="0.2">
      <c r="A245">
        <v>1244</v>
      </c>
      <c r="B245" s="2">
        <v>45735</v>
      </c>
      <c r="C245" t="s">
        <v>22</v>
      </c>
      <c r="D245">
        <v>23</v>
      </c>
      <c r="E245" t="s">
        <v>33</v>
      </c>
      <c r="F245" t="s">
        <v>26</v>
      </c>
      <c r="G245">
        <v>14.1</v>
      </c>
      <c r="H245" t="s">
        <v>18</v>
      </c>
      <c r="I245">
        <v>37.4</v>
      </c>
      <c r="J245">
        <v>6.7</v>
      </c>
      <c r="K245">
        <v>15</v>
      </c>
      <c r="L245" t="s">
        <v>21</v>
      </c>
      <c r="M245" t="str">
        <f t="shared" si="9"/>
        <v>Normal</v>
      </c>
      <c r="N245" t="str">
        <f t="shared" si="10"/>
        <v>Under 30</v>
      </c>
      <c r="O245" t="str">
        <f t="shared" si="11"/>
        <v>2025-03</v>
      </c>
      <c r="P245" s="9">
        <f>IF(ClinicData[[#This Row],[Sex]]= "Male", ClinicData[[#This Row],[Hb_g_dL]], "")</f>
        <v>14.1</v>
      </c>
      <c r="Q245" s="9" t="str">
        <f>IF(ClinicData[[#This Row],[Sex]]="Female",ClinicData[[#This Row],[Hb_g_dL]], "")</f>
        <v/>
      </c>
    </row>
    <row r="246" spans="1:17" x14ac:dyDescent="0.2">
      <c r="A246">
        <v>1245</v>
      </c>
      <c r="B246" s="2">
        <v>45997</v>
      </c>
      <c r="C246" t="s">
        <v>22</v>
      </c>
      <c r="D246">
        <v>34</v>
      </c>
      <c r="E246" t="s">
        <v>16</v>
      </c>
      <c r="F246" t="s">
        <v>29</v>
      </c>
      <c r="G246">
        <v>6.6</v>
      </c>
      <c r="H246" t="s">
        <v>18</v>
      </c>
      <c r="I246">
        <v>36.5</v>
      </c>
      <c r="J246">
        <v>6.9</v>
      </c>
      <c r="K246">
        <v>2</v>
      </c>
      <c r="L246" t="s">
        <v>19</v>
      </c>
      <c r="M246" t="str">
        <f t="shared" si="9"/>
        <v>Anemic</v>
      </c>
      <c r="N246" t="str">
        <f t="shared" si="10"/>
        <v>30 and Above</v>
      </c>
      <c r="O246" t="str">
        <f t="shared" si="11"/>
        <v>2025-12</v>
      </c>
      <c r="P246" s="9">
        <f>IF(ClinicData[[#This Row],[Sex]]= "Male", ClinicData[[#This Row],[Hb_g_dL]], "")</f>
        <v>6.6</v>
      </c>
      <c r="Q246" s="9" t="str">
        <f>IF(ClinicData[[#This Row],[Sex]]="Female",ClinicData[[#This Row],[Hb_g_dL]], "")</f>
        <v/>
      </c>
    </row>
    <row r="247" spans="1:17" x14ac:dyDescent="0.2">
      <c r="A247">
        <v>1246</v>
      </c>
      <c r="B247" s="2">
        <v>46040</v>
      </c>
      <c r="C247" t="s">
        <v>15</v>
      </c>
      <c r="D247">
        <v>20</v>
      </c>
      <c r="E247" t="s">
        <v>28</v>
      </c>
      <c r="F247" t="s">
        <v>32</v>
      </c>
      <c r="G247">
        <v>14</v>
      </c>
      <c r="H247" t="s">
        <v>18</v>
      </c>
      <c r="I247">
        <v>37.4</v>
      </c>
      <c r="J247">
        <v>6</v>
      </c>
      <c r="K247">
        <v>0</v>
      </c>
      <c r="L247" t="s">
        <v>19</v>
      </c>
      <c r="M247" t="str">
        <f t="shared" si="9"/>
        <v>Normal</v>
      </c>
      <c r="N247" t="str">
        <f t="shared" si="10"/>
        <v>Under 30</v>
      </c>
      <c r="O247" t="str">
        <f t="shared" si="11"/>
        <v>2026-01</v>
      </c>
      <c r="P247" s="9" t="str">
        <f>IF(ClinicData[[#This Row],[Sex]]= "Male", ClinicData[[#This Row],[Hb_g_dL]], "")</f>
        <v/>
      </c>
      <c r="Q247" s="9">
        <f>IF(ClinicData[[#This Row],[Sex]]="Female",ClinicData[[#This Row],[Hb_g_dL]], "")</f>
        <v>14</v>
      </c>
    </row>
    <row r="248" spans="1:17" x14ac:dyDescent="0.2">
      <c r="A248">
        <v>1247</v>
      </c>
      <c r="B248" s="2">
        <v>45927</v>
      </c>
      <c r="C248" t="s">
        <v>22</v>
      </c>
      <c r="D248">
        <v>31</v>
      </c>
      <c r="E248" t="s">
        <v>37</v>
      </c>
      <c r="F248" t="s">
        <v>17</v>
      </c>
      <c r="G248">
        <v>13.2</v>
      </c>
      <c r="H248" t="s">
        <v>18</v>
      </c>
      <c r="I248">
        <v>37</v>
      </c>
      <c r="J248">
        <v>5.8</v>
      </c>
      <c r="K248">
        <v>8</v>
      </c>
      <c r="L248" t="s">
        <v>19</v>
      </c>
      <c r="M248" t="str">
        <f t="shared" si="9"/>
        <v>Normal</v>
      </c>
      <c r="N248" t="str">
        <f t="shared" si="10"/>
        <v>30 and Above</v>
      </c>
      <c r="O248" t="str">
        <f t="shared" si="11"/>
        <v>2025-09</v>
      </c>
      <c r="P248" s="9">
        <f>IF(ClinicData[[#This Row],[Sex]]= "Male", ClinicData[[#This Row],[Hb_g_dL]], "")</f>
        <v>13.2</v>
      </c>
      <c r="Q248" s="9" t="str">
        <f>IF(ClinicData[[#This Row],[Sex]]="Female",ClinicData[[#This Row],[Hb_g_dL]], "")</f>
        <v/>
      </c>
    </row>
    <row r="249" spans="1:17" x14ac:dyDescent="0.2">
      <c r="A249">
        <v>1248</v>
      </c>
      <c r="B249" s="2">
        <v>45959</v>
      </c>
      <c r="C249" t="s">
        <v>22</v>
      </c>
      <c r="D249">
        <v>46</v>
      </c>
      <c r="E249" t="s">
        <v>23</v>
      </c>
      <c r="F249" t="s">
        <v>24</v>
      </c>
      <c r="G249">
        <v>16.399999999999999</v>
      </c>
      <c r="H249" t="s">
        <v>18</v>
      </c>
      <c r="I249">
        <v>37.200000000000003</v>
      </c>
      <c r="J249">
        <v>7.2</v>
      </c>
      <c r="K249">
        <v>3</v>
      </c>
      <c r="L249" t="s">
        <v>21</v>
      </c>
      <c r="M249" t="str">
        <f t="shared" si="9"/>
        <v>Normal</v>
      </c>
      <c r="N249" t="str">
        <f t="shared" si="10"/>
        <v>30 and Above</v>
      </c>
      <c r="O249" t="str">
        <f t="shared" si="11"/>
        <v>2025-10</v>
      </c>
      <c r="P249" s="9">
        <f>IF(ClinicData[[#This Row],[Sex]]= "Male", ClinicData[[#This Row],[Hb_g_dL]], "")</f>
        <v>16.399999999999999</v>
      </c>
      <c r="Q249" s="9" t="str">
        <f>IF(ClinicData[[#This Row],[Sex]]="Female",ClinicData[[#This Row],[Hb_g_dL]], "")</f>
        <v/>
      </c>
    </row>
    <row r="250" spans="1:17" x14ac:dyDescent="0.2">
      <c r="A250">
        <v>1249</v>
      </c>
      <c r="B250" s="2">
        <v>45748</v>
      </c>
      <c r="C250" t="s">
        <v>15</v>
      </c>
      <c r="D250">
        <v>47</v>
      </c>
      <c r="E250" t="s">
        <v>16</v>
      </c>
      <c r="F250" t="s">
        <v>35</v>
      </c>
      <c r="G250">
        <v>10.5</v>
      </c>
      <c r="H250" t="s">
        <v>18</v>
      </c>
      <c r="I250">
        <v>37.1</v>
      </c>
      <c r="J250">
        <v>7.7</v>
      </c>
      <c r="K250">
        <v>0</v>
      </c>
      <c r="L250" t="s">
        <v>21</v>
      </c>
      <c r="M250" t="str">
        <f t="shared" si="9"/>
        <v>Anemic</v>
      </c>
      <c r="N250" t="str">
        <f t="shared" si="10"/>
        <v>30 and Above</v>
      </c>
      <c r="O250" t="str">
        <f t="shared" si="11"/>
        <v>2025-04</v>
      </c>
      <c r="P250" s="9" t="str">
        <f>IF(ClinicData[[#This Row],[Sex]]= "Male", ClinicData[[#This Row],[Hb_g_dL]], "")</f>
        <v/>
      </c>
      <c r="Q250" s="9">
        <f>IF(ClinicData[[#This Row],[Sex]]="Female",ClinicData[[#This Row],[Hb_g_dL]], "")</f>
        <v>10.5</v>
      </c>
    </row>
    <row r="251" spans="1:17" x14ac:dyDescent="0.2">
      <c r="A251">
        <v>1250</v>
      </c>
      <c r="B251" s="2">
        <v>45850</v>
      </c>
      <c r="C251" t="s">
        <v>22</v>
      </c>
      <c r="D251">
        <v>33</v>
      </c>
      <c r="E251" t="s">
        <v>28</v>
      </c>
      <c r="F251" t="s">
        <v>26</v>
      </c>
      <c r="G251">
        <v>10.8</v>
      </c>
      <c r="H251" t="s">
        <v>31</v>
      </c>
      <c r="I251">
        <v>37.799999999999997</v>
      </c>
      <c r="J251">
        <v>5.2</v>
      </c>
      <c r="K251">
        <v>1</v>
      </c>
      <c r="L251" t="s">
        <v>21</v>
      </c>
      <c r="M251" t="str">
        <f t="shared" si="9"/>
        <v>Anemic</v>
      </c>
      <c r="N251" t="str">
        <f t="shared" si="10"/>
        <v>30 and Above</v>
      </c>
      <c r="O251" t="str">
        <f t="shared" si="11"/>
        <v>2025-07</v>
      </c>
      <c r="P251" s="9">
        <f>IF(ClinicData[[#This Row],[Sex]]= "Male", ClinicData[[#This Row],[Hb_g_dL]], "")</f>
        <v>10.8</v>
      </c>
      <c r="Q251" s="9" t="str">
        <f>IF(ClinicData[[#This Row],[Sex]]="Female",ClinicData[[#This Row],[Hb_g_dL]], "")</f>
        <v/>
      </c>
    </row>
    <row r="252" spans="1:17" x14ac:dyDescent="0.2">
      <c r="A252">
        <v>1251</v>
      </c>
      <c r="B252" s="2">
        <v>45747</v>
      </c>
      <c r="C252" t="s">
        <v>15</v>
      </c>
      <c r="D252">
        <v>11</v>
      </c>
      <c r="E252" t="s">
        <v>16</v>
      </c>
      <c r="F252" t="s">
        <v>24</v>
      </c>
      <c r="G252">
        <v>11.1</v>
      </c>
      <c r="H252" t="s">
        <v>18</v>
      </c>
      <c r="I252">
        <v>36.5</v>
      </c>
      <c r="J252">
        <v>9.1999999999999993</v>
      </c>
      <c r="K252">
        <v>2</v>
      </c>
      <c r="L252" t="s">
        <v>19</v>
      </c>
      <c r="M252" t="str">
        <f t="shared" si="9"/>
        <v>Anemic</v>
      </c>
      <c r="N252" t="str">
        <f t="shared" si="10"/>
        <v>Under 30</v>
      </c>
      <c r="O252" t="str">
        <f t="shared" si="11"/>
        <v>2025-03</v>
      </c>
      <c r="P252" s="9" t="str">
        <f>IF(ClinicData[[#This Row],[Sex]]= "Male", ClinicData[[#This Row],[Hb_g_dL]], "")</f>
        <v/>
      </c>
      <c r="Q252" s="9">
        <f>IF(ClinicData[[#This Row],[Sex]]="Female",ClinicData[[#This Row],[Hb_g_dL]], "")</f>
        <v>11.1</v>
      </c>
    </row>
    <row r="253" spans="1:17" x14ac:dyDescent="0.2">
      <c r="A253">
        <v>1252</v>
      </c>
      <c r="B253" s="2">
        <v>45950</v>
      </c>
      <c r="C253" t="s">
        <v>22</v>
      </c>
      <c r="D253">
        <v>20</v>
      </c>
      <c r="E253" t="s">
        <v>28</v>
      </c>
      <c r="F253" t="s">
        <v>24</v>
      </c>
      <c r="G253">
        <v>13.7</v>
      </c>
      <c r="H253" t="s">
        <v>18</v>
      </c>
      <c r="I253">
        <v>37.5</v>
      </c>
      <c r="J253">
        <v>6.2</v>
      </c>
      <c r="K253">
        <v>1</v>
      </c>
      <c r="L253" t="s">
        <v>27</v>
      </c>
      <c r="M253" t="str">
        <f t="shared" si="9"/>
        <v>Normal</v>
      </c>
      <c r="N253" t="str">
        <f t="shared" si="10"/>
        <v>Under 30</v>
      </c>
      <c r="O253" t="str">
        <f t="shared" si="11"/>
        <v>2025-10</v>
      </c>
      <c r="P253" s="9">
        <f>IF(ClinicData[[#This Row],[Sex]]= "Male", ClinicData[[#This Row],[Hb_g_dL]], "")</f>
        <v>13.7</v>
      </c>
      <c r="Q253" s="9" t="str">
        <f>IF(ClinicData[[#This Row],[Sex]]="Female",ClinicData[[#This Row],[Hb_g_dL]], "")</f>
        <v/>
      </c>
    </row>
    <row r="254" spans="1:17" x14ac:dyDescent="0.2">
      <c r="A254">
        <v>1253</v>
      </c>
      <c r="B254" s="2">
        <v>45761</v>
      </c>
      <c r="C254" t="s">
        <v>22</v>
      </c>
      <c r="D254">
        <v>34</v>
      </c>
      <c r="E254" t="s">
        <v>16</v>
      </c>
      <c r="F254" t="s">
        <v>32</v>
      </c>
      <c r="G254">
        <v>13.4</v>
      </c>
      <c r="H254" t="s">
        <v>18</v>
      </c>
      <c r="I254">
        <v>36.4</v>
      </c>
      <c r="J254">
        <v>11.1</v>
      </c>
      <c r="K254">
        <v>1</v>
      </c>
      <c r="L254" t="s">
        <v>19</v>
      </c>
      <c r="M254" t="str">
        <f t="shared" si="9"/>
        <v>Normal</v>
      </c>
      <c r="N254" t="str">
        <f t="shared" si="10"/>
        <v>30 and Above</v>
      </c>
      <c r="O254" t="str">
        <f t="shared" si="11"/>
        <v>2025-04</v>
      </c>
      <c r="P254" s="9">
        <f>IF(ClinicData[[#This Row],[Sex]]= "Male", ClinicData[[#This Row],[Hb_g_dL]], "")</f>
        <v>13.4</v>
      </c>
      <c r="Q254" s="9" t="str">
        <f>IF(ClinicData[[#This Row],[Sex]]="Female",ClinicData[[#This Row],[Hb_g_dL]], "")</f>
        <v/>
      </c>
    </row>
    <row r="255" spans="1:17" x14ac:dyDescent="0.2">
      <c r="A255">
        <v>1254</v>
      </c>
      <c r="B255" s="2">
        <v>45969</v>
      </c>
      <c r="C255" t="s">
        <v>15</v>
      </c>
      <c r="D255">
        <v>34</v>
      </c>
      <c r="E255" t="s">
        <v>28</v>
      </c>
      <c r="F255" t="s">
        <v>24</v>
      </c>
      <c r="G255">
        <v>13.8</v>
      </c>
      <c r="H255" t="s">
        <v>18</v>
      </c>
      <c r="I255">
        <v>38.5</v>
      </c>
      <c r="J255">
        <v>8.1999999999999993</v>
      </c>
      <c r="K255">
        <v>2</v>
      </c>
      <c r="L255" t="s">
        <v>19</v>
      </c>
      <c r="M255" t="str">
        <f t="shared" si="9"/>
        <v>Normal</v>
      </c>
      <c r="N255" t="str">
        <f t="shared" si="10"/>
        <v>30 and Above</v>
      </c>
      <c r="O255" t="str">
        <f t="shared" si="11"/>
        <v>2025-11</v>
      </c>
      <c r="P255" s="9" t="str">
        <f>IF(ClinicData[[#This Row],[Sex]]= "Male", ClinicData[[#This Row],[Hb_g_dL]], "")</f>
        <v/>
      </c>
      <c r="Q255" s="9">
        <f>IF(ClinicData[[#This Row],[Sex]]="Female",ClinicData[[#This Row],[Hb_g_dL]], "")</f>
        <v>13.8</v>
      </c>
    </row>
    <row r="256" spans="1:17" x14ac:dyDescent="0.2">
      <c r="A256">
        <v>1255</v>
      </c>
      <c r="B256" s="2">
        <v>45694</v>
      </c>
      <c r="C256" t="s">
        <v>22</v>
      </c>
      <c r="D256">
        <v>17</v>
      </c>
      <c r="E256" t="s">
        <v>28</v>
      </c>
      <c r="F256" t="s">
        <v>35</v>
      </c>
      <c r="G256">
        <v>12</v>
      </c>
      <c r="H256" t="s">
        <v>18</v>
      </c>
      <c r="I256">
        <v>36.200000000000003</v>
      </c>
      <c r="J256">
        <v>10.9</v>
      </c>
      <c r="K256">
        <v>1</v>
      </c>
      <c r="L256" t="s">
        <v>21</v>
      </c>
      <c r="M256" t="str">
        <f t="shared" si="9"/>
        <v>Normal</v>
      </c>
      <c r="N256" t="str">
        <f t="shared" si="10"/>
        <v>Under 30</v>
      </c>
      <c r="O256" t="str">
        <f t="shared" si="11"/>
        <v>2025-02</v>
      </c>
      <c r="P256" s="9">
        <f>IF(ClinicData[[#This Row],[Sex]]= "Male", ClinicData[[#This Row],[Hb_g_dL]], "")</f>
        <v>12</v>
      </c>
      <c r="Q256" s="9" t="str">
        <f>IF(ClinicData[[#This Row],[Sex]]="Female",ClinicData[[#This Row],[Hb_g_dL]], "")</f>
        <v/>
      </c>
    </row>
    <row r="257" spans="1:17" x14ac:dyDescent="0.2">
      <c r="A257">
        <v>1256</v>
      </c>
      <c r="B257" s="2">
        <v>45881</v>
      </c>
      <c r="C257" t="s">
        <v>22</v>
      </c>
      <c r="D257">
        <v>38</v>
      </c>
      <c r="E257" t="s">
        <v>30</v>
      </c>
      <c r="F257" t="s">
        <v>35</v>
      </c>
      <c r="G257">
        <v>10.9</v>
      </c>
      <c r="H257" t="s">
        <v>18</v>
      </c>
      <c r="I257">
        <v>36.9</v>
      </c>
      <c r="J257">
        <v>7</v>
      </c>
      <c r="K257">
        <v>7</v>
      </c>
      <c r="L257" t="s">
        <v>27</v>
      </c>
      <c r="M257" t="str">
        <f t="shared" si="9"/>
        <v>Anemic</v>
      </c>
      <c r="N257" t="str">
        <f t="shared" si="10"/>
        <v>30 and Above</v>
      </c>
      <c r="O257" t="str">
        <f t="shared" si="11"/>
        <v>2025-08</v>
      </c>
      <c r="P257" s="9">
        <f>IF(ClinicData[[#This Row],[Sex]]= "Male", ClinicData[[#This Row],[Hb_g_dL]], "")</f>
        <v>10.9</v>
      </c>
      <c r="Q257" s="9" t="str">
        <f>IF(ClinicData[[#This Row],[Sex]]="Female",ClinicData[[#This Row],[Hb_g_dL]], "")</f>
        <v/>
      </c>
    </row>
    <row r="258" spans="1:17" x14ac:dyDescent="0.2">
      <c r="A258">
        <v>1257</v>
      </c>
      <c r="B258" s="2">
        <v>45808</v>
      </c>
      <c r="C258" t="s">
        <v>15</v>
      </c>
      <c r="D258">
        <v>16</v>
      </c>
      <c r="E258" t="s">
        <v>25</v>
      </c>
      <c r="F258" t="s">
        <v>26</v>
      </c>
      <c r="G258">
        <v>14.5</v>
      </c>
      <c r="H258" t="s">
        <v>31</v>
      </c>
      <c r="I258">
        <v>38.5</v>
      </c>
      <c r="J258">
        <v>10.6</v>
      </c>
      <c r="K258">
        <v>10</v>
      </c>
      <c r="L258" t="s">
        <v>21</v>
      </c>
      <c r="M258" t="str">
        <f t="shared" ref="M258:M301" si="12">IF(G258&lt;12,"Anemic","Normal")</f>
        <v>Normal</v>
      </c>
      <c r="N258" t="str">
        <f t="shared" ref="N258:N301" si="13">IF(D258&lt;30,"Under 30","30 and Above")</f>
        <v>Under 30</v>
      </c>
      <c r="O258" t="str">
        <f t="shared" ref="O258:O301" si="14">TEXT(B258,"yyyy-mm")</f>
        <v>2025-05</v>
      </c>
      <c r="P258" s="9" t="str">
        <f>IF(ClinicData[[#This Row],[Sex]]= "Male", ClinicData[[#This Row],[Hb_g_dL]], "")</f>
        <v/>
      </c>
      <c r="Q258" s="9">
        <f>IF(ClinicData[[#This Row],[Sex]]="Female",ClinicData[[#This Row],[Hb_g_dL]], "")</f>
        <v>14.5</v>
      </c>
    </row>
    <row r="259" spans="1:17" x14ac:dyDescent="0.2">
      <c r="A259">
        <v>1258</v>
      </c>
      <c r="B259" s="2">
        <v>45760</v>
      </c>
      <c r="C259" t="s">
        <v>15</v>
      </c>
      <c r="D259">
        <v>39</v>
      </c>
      <c r="E259" t="s">
        <v>16</v>
      </c>
      <c r="F259" t="s">
        <v>29</v>
      </c>
      <c r="G259">
        <v>5.5</v>
      </c>
      <c r="H259" t="s">
        <v>18</v>
      </c>
      <c r="I259">
        <v>35.9</v>
      </c>
      <c r="J259">
        <v>8.4</v>
      </c>
      <c r="K259">
        <v>1</v>
      </c>
      <c r="L259" t="s">
        <v>19</v>
      </c>
      <c r="M259" t="str">
        <f t="shared" si="12"/>
        <v>Anemic</v>
      </c>
      <c r="N259" t="str">
        <f t="shared" si="13"/>
        <v>30 and Above</v>
      </c>
      <c r="O259" t="str">
        <f t="shared" si="14"/>
        <v>2025-04</v>
      </c>
      <c r="P259" s="9" t="str">
        <f>IF(ClinicData[[#This Row],[Sex]]= "Male", ClinicData[[#This Row],[Hb_g_dL]], "")</f>
        <v/>
      </c>
      <c r="Q259" s="9">
        <f>IF(ClinicData[[#This Row],[Sex]]="Female",ClinicData[[#This Row],[Hb_g_dL]], "")</f>
        <v>5.5</v>
      </c>
    </row>
    <row r="260" spans="1:17" x14ac:dyDescent="0.2">
      <c r="A260">
        <v>1259</v>
      </c>
      <c r="B260" s="2">
        <v>45661</v>
      </c>
      <c r="C260" t="s">
        <v>22</v>
      </c>
      <c r="D260">
        <v>24</v>
      </c>
      <c r="E260" t="s">
        <v>23</v>
      </c>
      <c r="F260" t="s">
        <v>26</v>
      </c>
      <c r="G260">
        <v>12.4</v>
      </c>
      <c r="H260" t="s">
        <v>31</v>
      </c>
      <c r="I260">
        <v>37.6</v>
      </c>
      <c r="J260">
        <v>10</v>
      </c>
      <c r="K260">
        <v>5</v>
      </c>
      <c r="L260" t="s">
        <v>21</v>
      </c>
      <c r="M260" t="str">
        <f t="shared" si="12"/>
        <v>Normal</v>
      </c>
      <c r="N260" t="str">
        <f t="shared" si="13"/>
        <v>Under 30</v>
      </c>
      <c r="O260" t="str">
        <f t="shared" si="14"/>
        <v>2025-01</v>
      </c>
      <c r="P260" s="9">
        <f>IF(ClinicData[[#This Row],[Sex]]= "Male", ClinicData[[#This Row],[Hb_g_dL]], "")</f>
        <v>12.4</v>
      </c>
      <c r="Q260" s="9" t="str">
        <f>IF(ClinicData[[#This Row],[Sex]]="Female",ClinicData[[#This Row],[Hb_g_dL]], "")</f>
        <v/>
      </c>
    </row>
    <row r="261" spans="1:17" x14ac:dyDescent="0.2">
      <c r="A261">
        <v>1260</v>
      </c>
      <c r="B261" s="2">
        <v>46068</v>
      </c>
      <c r="C261" t="s">
        <v>22</v>
      </c>
      <c r="D261">
        <v>17</v>
      </c>
      <c r="E261" t="s">
        <v>28</v>
      </c>
      <c r="F261" t="s">
        <v>26</v>
      </c>
      <c r="G261">
        <v>10.8</v>
      </c>
      <c r="H261" t="s">
        <v>31</v>
      </c>
      <c r="I261">
        <v>36.9</v>
      </c>
      <c r="J261">
        <v>7.2</v>
      </c>
      <c r="K261">
        <v>1</v>
      </c>
      <c r="L261" t="s">
        <v>19</v>
      </c>
      <c r="M261" t="str">
        <f t="shared" si="12"/>
        <v>Anemic</v>
      </c>
      <c r="N261" t="str">
        <f t="shared" si="13"/>
        <v>Under 30</v>
      </c>
      <c r="O261" t="str">
        <f t="shared" si="14"/>
        <v>2026-02</v>
      </c>
      <c r="P261" s="9">
        <f>IF(ClinicData[[#This Row],[Sex]]= "Male", ClinicData[[#This Row],[Hb_g_dL]], "")</f>
        <v>10.8</v>
      </c>
      <c r="Q261" s="9" t="str">
        <f>IF(ClinicData[[#This Row],[Sex]]="Female",ClinicData[[#This Row],[Hb_g_dL]], "")</f>
        <v/>
      </c>
    </row>
    <row r="262" spans="1:17" x14ac:dyDescent="0.2">
      <c r="A262">
        <v>1261</v>
      </c>
      <c r="B262" s="2">
        <v>46019</v>
      </c>
      <c r="C262" t="s">
        <v>15</v>
      </c>
      <c r="D262">
        <v>6</v>
      </c>
      <c r="E262" t="s">
        <v>16</v>
      </c>
      <c r="F262" t="s">
        <v>26</v>
      </c>
      <c r="G262">
        <v>11.6</v>
      </c>
      <c r="H262" t="s">
        <v>18</v>
      </c>
      <c r="I262">
        <v>37.1</v>
      </c>
      <c r="J262">
        <v>7</v>
      </c>
      <c r="K262">
        <v>0</v>
      </c>
      <c r="L262" t="s">
        <v>21</v>
      </c>
      <c r="M262" t="str">
        <f t="shared" si="12"/>
        <v>Anemic</v>
      </c>
      <c r="N262" t="str">
        <f t="shared" si="13"/>
        <v>Under 30</v>
      </c>
      <c r="O262" t="str">
        <f t="shared" si="14"/>
        <v>2025-12</v>
      </c>
      <c r="P262" s="9" t="str">
        <f>IF(ClinicData[[#This Row],[Sex]]= "Male", ClinicData[[#This Row],[Hb_g_dL]], "")</f>
        <v/>
      </c>
      <c r="Q262" s="9">
        <f>IF(ClinicData[[#This Row],[Sex]]="Female",ClinicData[[#This Row],[Hb_g_dL]], "")</f>
        <v>11.6</v>
      </c>
    </row>
    <row r="263" spans="1:17" x14ac:dyDescent="0.2">
      <c r="A263">
        <v>1262</v>
      </c>
      <c r="B263" s="2">
        <v>45807</v>
      </c>
      <c r="C263" t="s">
        <v>22</v>
      </c>
      <c r="D263">
        <v>45</v>
      </c>
      <c r="E263" t="s">
        <v>28</v>
      </c>
      <c r="F263" t="s">
        <v>29</v>
      </c>
      <c r="G263">
        <v>10.3</v>
      </c>
      <c r="H263" t="s">
        <v>31</v>
      </c>
      <c r="I263">
        <v>38.200000000000003</v>
      </c>
      <c r="J263">
        <v>6.6</v>
      </c>
      <c r="K263">
        <v>0</v>
      </c>
      <c r="L263" t="s">
        <v>27</v>
      </c>
      <c r="M263" t="str">
        <f t="shared" si="12"/>
        <v>Anemic</v>
      </c>
      <c r="N263" t="str">
        <f t="shared" si="13"/>
        <v>30 and Above</v>
      </c>
      <c r="O263" t="str">
        <f t="shared" si="14"/>
        <v>2025-05</v>
      </c>
      <c r="P263" s="9">
        <f>IF(ClinicData[[#This Row],[Sex]]= "Male", ClinicData[[#This Row],[Hb_g_dL]], "")</f>
        <v>10.3</v>
      </c>
      <c r="Q263" s="9" t="str">
        <f>IF(ClinicData[[#This Row],[Sex]]="Female",ClinicData[[#This Row],[Hb_g_dL]], "")</f>
        <v/>
      </c>
    </row>
    <row r="264" spans="1:17" x14ac:dyDescent="0.2">
      <c r="A264">
        <v>1263</v>
      </c>
      <c r="B264" s="2">
        <v>45694</v>
      </c>
      <c r="C264" t="s">
        <v>15</v>
      </c>
      <c r="D264">
        <v>48</v>
      </c>
      <c r="E264" t="s">
        <v>25</v>
      </c>
      <c r="F264" t="s">
        <v>26</v>
      </c>
      <c r="G264">
        <v>11.7</v>
      </c>
      <c r="H264" t="s">
        <v>31</v>
      </c>
      <c r="I264">
        <v>38</v>
      </c>
      <c r="J264">
        <v>3.5</v>
      </c>
      <c r="K264">
        <v>9</v>
      </c>
      <c r="L264" t="s">
        <v>19</v>
      </c>
      <c r="M264" t="str">
        <f t="shared" si="12"/>
        <v>Anemic</v>
      </c>
      <c r="N264" t="str">
        <f t="shared" si="13"/>
        <v>30 and Above</v>
      </c>
      <c r="O264" t="str">
        <f t="shared" si="14"/>
        <v>2025-02</v>
      </c>
      <c r="P264" s="9" t="str">
        <f>IF(ClinicData[[#This Row],[Sex]]= "Male", ClinicData[[#This Row],[Hb_g_dL]], "")</f>
        <v/>
      </c>
      <c r="Q264" s="9">
        <f>IF(ClinicData[[#This Row],[Sex]]="Female",ClinicData[[#This Row],[Hb_g_dL]], "")</f>
        <v>11.7</v>
      </c>
    </row>
    <row r="265" spans="1:17" x14ac:dyDescent="0.2">
      <c r="A265">
        <v>1264</v>
      </c>
      <c r="B265" s="2">
        <v>46024</v>
      </c>
      <c r="C265" t="s">
        <v>22</v>
      </c>
      <c r="D265">
        <v>2</v>
      </c>
      <c r="E265" t="s">
        <v>16</v>
      </c>
      <c r="F265" t="s">
        <v>26</v>
      </c>
      <c r="G265">
        <v>13.2</v>
      </c>
      <c r="H265" t="s">
        <v>31</v>
      </c>
      <c r="I265">
        <v>39.1</v>
      </c>
      <c r="J265">
        <v>5.3</v>
      </c>
      <c r="K265">
        <v>0</v>
      </c>
      <c r="L265" t="s">
        <v>27</v>
      </c>
      <c r="M265" t="str">
        <f t="shared" si="12"/>
        <v>Normal</v>
      </c>
      <c r="N265" t="str">
        <f t="shared" si="13"/>
        <v>Under 30</v>
      </c>
      <c r="O265" t="str">
        <f t="shared" si="14"/>
        <v>2026-01</v>
      </c>
      <c r="P265" s="9">
        <f>IF(ClinicData[[#This Row],[Sex]]= "Male", ClinicData[[#This Row],[Hb_g_dL]], "")</f>
        <v>13.2</v>
      </c>
      <c r="Q265" s="9" t="str">
        <f>IF(ClinicData[[#This Row],[Sex]]="Female",ClinicData[[#This Row],[Hb_g_dL]], "")</f>
        <v/>
      </c>
    </row>
    <row r="266" spans="1:17" x14ac:dyDescent="0.2">
      <c r="A266">
        <v>1265</v>
      </c>
      <c r="B266" s="2">
        <v>45726</v>
      </c>
      <c r="C266" t="s">
        <v>22</v>
      </c>
      <c r="D266">
        <v>33</v>
      </c>
      <c r="E266" t="s">
        <v>16</v>
      </c>
      <c r="F266" t="s">
        <v>20</v>
      </c>
      <c r="G266">
        <v>12.9</v>
      </c>
      <c r="H266" t="s">
        <v>18</v>
      </c>
      <c r="I266">
        <v>37.700000000000003</v>
      </c>
      <c r="J266">
        <v>10.3</v>
      </c>
      <c r="K266">
        <v>1</v>
      </c>
      <c r="L266" t="s">
        <v>19</v>
      </c>
      <c r="M266" t="str">
        <f t="shared" si="12"/>
        <v>Normal</v>
      </c>
      <c r="N266" t="str">
        <f t="shared" si="13"/>
        <v>30 and Above</v>
      </c>
      <c r="O266" t="str">
        <f t="shared" si="14"/>
        <v>2025-03</v>
      </c>
      <c r="P266" s="9">
        <f>IF(ClinicData[[#This Row],[Sex]]= "Male", ClinicData[[#This Row],[Hb_g_dL]], "")</f>
        <v>12.9</v>
      </c>
      <c r="Q266" s="9" t="str">
        <f>IF(ClinicData[[#This Row],[Sex]]="Female",ClinicData[[#This Row],[Hb_g_dL]], "")</f>
        <v/>
      </c>
    </row>
    <row r="267" spans="1:17" x14ac:dyDescent="0.2">
      <c r="A267">
        <v>1266</v>
      </c>
      <c r="B267" s="2">
        <v>45767</v>
      </c>
      <c r="C267" t="s">
        <v>22</v>
      </c>
      <c r="D267">
        <v>50</v>
      </c>
      <c r="E267" t="s">
        <v>33</v>
      </c>
      <c r="F267" t="s">
        <v>35</v>
      </c>
      <c r="G267">
        <v>11.6</v>
      </c>
      <c r="H267" t="s">
        <v>31</v>
      </c>
      <c r="I267">
        <v>38.6</v>
      </c>
      <c r="J267">
        <v>7.8</v>
      </c>
      <c r="K267">
        <v>7</v>
      </c>
      <c r="L267" t="s">
        <v>19</v>
      </c>
      <c r="M267" t="str">
        <f t="shared" si="12"/>
        <v>Anemic</v>
      </c>
      <c r="N267" t="str">
        <f t="shared" si="13"/>
        <v>30 and Above</v>
      </c>
      <c r="O267" t="str">
        <f t="shared" si="14"/>
        <v>2025-04</v>
      </c>
      <c r="P267" s="9">
        <f>IF(ClinicData[[#This Row],[Sex]]= "Male", ClinicData[[#This Row],[Hb_g_dL]], "")</f>
        <v>11.6</v>
      </c>
      <c r="Q267" s="9" t="str">
        <f>IF(ClinicData[[#This Row],[Sex]]="Female",ClinicData[[#This Row],[Hb_g_dL]], "")</f>
        <v/>
      </c>
    </row>
    <row r="268" spans="1:17" x14ac:dyDescent="0.2">
      <c r="A268">
        <v>1267</v>
      </c>
      <c r="B268" s="2">
        <v>46005</v>
      </c>
      <c r="C268" t="s">
        <v>22</v>
      </c>
      <c r="D268">
        <v>6</v>
      </c>
      <c r="E268" t="s">
        <v>16</v>
      </c>
      <c r="F268" t="s">
        <v>36</v>
      </c>
      <c r="G268">
        <v>13.5</v>
      </c>
      <c r="H268" t="s">
        <v>18</v>
      </c>
      <c r="I268">
        <v>37.700000000000003</v>
      </c>
      <c r="J268">
        <v>6.5</v>
      </c>
      <c r="K268">
        <v>1</v>
      </c>
      <c r="L268" t="s">
        <v>19</v>
      </c>
      <c r="M268" t="str">
        <f t="shared" si="12"/>
        <v>Normal</v>
      </c>
      <c r="N268" t="str">
        <f t="shared" si="13"/>
        <v>Under 30</v>
      </c>
      <c r="O268" t="str">
        <f t="shared" si="14"/>
        <v>2025-12</v>
      </c>
      <c r="P268" s="9">
        <f>IF(ClinicData[[#This Row],[Sex]]= "Male", ClinicData[[#This Row],[Hb_g_dL]], "")</f>
        <v>13.5</v>
      </c>
      <c r="Q268" s="9" t="str">
        <f>IF(ClinicData[[#This Row],[Sex]]="Female",ClinicData[[#This Row],[Hb_g_dL]], "")</f>
        <v/>
      </c>
    </row>
    <row r="269" spans="1:17" x14ac:dyDescent="0.2">
      <c r="A269">
        <v>1268</v>
      </c>
      <c r="B269" s="2">
        <v>45667</v>
      </c>
      <c r="C269" t="s">
        <v>15</v>
      </c>
      <c r="D269">
        <v>33</v>
      </c>
      <c r="E269" t="s">
        <v>23</v>
      </c>
      <c r="F269" t="s">
        <v>32</v>
      </c>
      <c r="G269">
        <v>12.1</v>
      </c>
      <c r="H269" t="s">
        <v>18</v>
      </c>
      <c r="I269">
        <v>36.799999999999997</v>
      </c>
      <c r="J269">
        <v>7.3</v>
      </c>
      <c r="K269">
        <v>3</v>
      </c>
      <c r="L269" t="s">
        <v>21</v>
      </c>
      <c r="M269" t="str">
        <f t="shared" si="12"/>
        <v>Normal</v>
      </c>
      <c r="N269" t="str">
        <f t="shared" si="13"/>
        <v>30 and Above</v>
      </c>
      <c r="O269" t="str">
        <f t="shared" si="14"/>
        <v>2025-01</v>
      </c>
      <c r="P269" s="9" t="str">
        <f>IF(ClinicData[[#This Row],[Sex]]= "Male", ClinicData[[#This Row],[Hb_g_dL]], "")</f>
        <v/>
      </c>
      <c r="Q269" s="9">
        <f>IF(ClinicData[[#This Row],[Sex]]="Female",ClinicData[[#This Row],[Hb_g_dL]], "")</f>
        <v>12.1</v>
      </c>
    </row>
    <row r="270" spans="1:17" x14ac:dyDescent="0.2">
      <c r="A270">
        <v>1269</v>
      </c>
      <c r="B270" s="2">
        <v>46049</v>
      </c>
      <c r="C270" t="s">
        <v>15</v>
      </c>
      <c r="D270">
        <v>31</v>
      </c>
      <c r="E270" t="s">
        <v>23</v>
      </c>
      <c r="F270" t="s">
        <v>36</v>
      </c>
      <c r="G270">
        <v>12.2</v>
      </c>
      <c r="H270" t="s">
        <v>18</v>
      </c>
      <c r="I270">
        <v>37.799999999999997</v>
      </c>
      <c r="J270">
        <v>6.4</v>
      </c>
      <c r="K270">
        <v>1</v>
      </c>
      <c r="L270" t="s">
        <v>19</v>
      </c>
      <c r="M270" t="str">
        <f t="shared" si="12"/>
        <v>Normal</v>
      </c>
      <c r="N270" t="str">
        <f t="shared" si="13"/>
        <v>30 and Above</v>
      </c>
      <c r="O270" t="str">
        <f t="shared" si="14"/>
        <v>2026-01</v>
      </c>
      <c r="P270" s="9" t="str">
        <f>IF(ClinicData[[#This Row],[Sex]]= "Male", ClinicData[[#This Row],[Hb_g_dL]], "")</f>
        <v/>
      </c>
      <c r="Q270" s="9">
        <f>IF(ClinicData[[#This Row],[Sex]]="Female",ClinicData[[#This Row],[Hb_g_dL]], "")</f>
        <v>12.2</v>
      </c>
    </row>
    <row r="271" spans="1:17" x14ac:dyDescent="0.2">
      <c r="A271">
        <v>1270</v>
      </c>
      <c r="B271" s="2">
        <v>45904</v>
      </c>
      <c r="C271" t="s">
        <v>22</v>
      </c>
      <c r="D271">
        <v>38</v>
      </c>
      <c r="E271" t="s">
        <v>16</v>
      </c>
      <c r="F271" t="s">
        <v>26</v>
      </c>
      <c r="G271">
        <v>16.100000000000001</v>
      </c>
      <c r="H271" t="s">
        <v>18</v>
      </c>
      <c r="I271">
        <v>37.6</v>
      </c>
      <c r="J271">
        <v>9.1</v>
      </c>
      <c r="K271">
        <v>0</v>
      </c>
      <c r="L271" t="s">
        <v>21</v>
      </c>
      <c r="M271" t="str">
        <f t="shared" si="12"/>
        <v>Normal</v>
      </c>
      <c r="N271" t="str">
        <f t="shared" si="13"/>
        <v>30 and Above</v>
      </c>
      <c r="O271" t="str">
        <f t="shared" si="14"/>
        <v>2025-09</v>
      </c>
      <c r="P271" s="9">
        <f>IF(ClinicData[[#This Row],[Sex]]= "Male", ClinicData[[#This Row],[Hb_g_dL]], "")</f>
        <v>16.100000000000001</v>
      </c>
      <c r="Q271" s="9" t="str">
        <f>IF(ClinicData[[#This Row],[Sex]]="Female",ClinicData[[#This Row],[Hb_g_dL]], "")</f>
        <v/>
      </c>
    </row>
    <row r="272" spans="1:17" x14ac:dyDescent="0.2">
      <c r="A272">
        <v>1271</v>
      </c>
      <c r="B272" s="2">
        <v>45894</v>
      </c>
      <c r="C272" t="s">
        <v>22</v>
      </c>
      <c r="D272">
        <v>10</v>
      </c>
      <c r="E272" t="s">
        <v>16</v>
      </c>
      <c r="F272" t="s">
        <v>17</v>
      </c>
      <c r="G272">
        <v>11.8</v>
      </c>
      <c r="H272" t="s">
        <v>31</v>
      </c>
      <c r="I272">
        <v>37.700000000000003</v>
      </c>
      <c r="J272">
        <v>6.8</v>
      </c>
      <c r="K272">
        <v>0</v>
      </c>
      <c r="L272" t="s">
        <v>21</v>
      </c>
      <c r="M272" t="str">
        <f t="shared" si="12"/>
        <v>Anemic</v>
      </c>
      <c r="N272" t="str">
        <f t="shared" si="13"/>
        <v>Under 30</v>
      </c>
      <c r="O272" t="str">
        <f t="shared" si="14"/>
        <v>2025-08</v>
      </c>
      <c r="P272" s="9">
        <f>IF(ClinicData[[#This Row],[Sex]]= "Male", ClinicData[[#This Row],[Hb_g_dL]], "")</f>
        <v>11.8</v>
      </c>
      <c r="Q272" s="9" t="str">
        <f>IF(ClinicData[[#This Row],[Sex]]="Female",ClinicData[[#This Row],[Hb_g_dL]], "")</f>
        <v/>
      </c>
    </row>
    <row r="273" spans="1:17" x14ac:dyDescent="0.2">
      <c r="A273">
        <v>1272</v>
      </c>
      <c r="B273" s="2">
        <v>45704</v>
      </c>
      <c r="C273" t="s">
        <v>22</v>
      </c>
      <c r="D273">
        <v>22</v>
      </c>
      <c r="E273" t="s">
        <v>37</v>
      </c>
      <c r="F273" t="s">
        <v>24</v>
      </c>
      <c r="G273">
        <v>15.9</v>
      </c>
      <c r="H273" t="s">
        <v>31</v>
      </c>
      <c r="I273">
        <v>38.700000000000003</v>
      </c>
      <c r="J273">
        <v>6</v>
      </c>
      <c r="K273">
        <v>2</v>
      </c>
      <c r="L273" t="s">
        <v>19</v>
      </c>
      <c r="M273" t="str">
        <f t="shared" si="12"/>
        <v>Normal</v>
      </c>
      <c r="N273" t="str">
        <f t="shared" si="13"/>
        <v>Under 30</v>
      </c>
      <c r="O273" t="str">
        <f t="shared" si="14"/>
        <v>2025-02</v>
      </c>
      <c r="P273" s="9">
        <f>IF(ClinicData[[#This Row],[Sex]]= "Male", ClinicData[[#This Row],[Hb_g_dL]], "")</f>
        <v>15.9</v>
      </c>
      <c r="Q273" s="9" t="str">
        <f>IF(ClinicData[[#This Row],[Sex]]="Female",ClinicData[[#This Row],[Hb_g_dL]], "")</f>
        <v/>
      </c>
    </row>
    <row r="274" spans="1:17" x14ac:dyDescent="0.2">
      <c r="A274">
        <v>1273</v>
      </c>
      <c r="B274" s="2">
        <v>45949</v>
      </c>
      <c r="C274" t="s">
        <v>15</v>
      </c>
      <c r="D274">
        <v>29</v>
      </c>
      <c r="E274" t="s">
        <v>28</v>
      </c>
      <c r="F274" t="s">
        <v>26</v>
      </c>
      <c r="G274">
        <v>12.1</v>
      </c>
      <c r="H274" t="s">
        <v>31</v>
      </c>
      <c r="I274">
        <v>38.299999999999997</v>
      </c>
      <c r="J274">
        <v>9.3000000000000007</v>
      </c>
      <c r="K274">
        <v>0</v>
      </c>
      <c r="L274" t="s">
        <v>19</v>
      </c>
      <c r="M274" t="str">
        <f t="shared" si="12"/>
        <v>Normal</v>
      </c>
      <c r="N274" t="str">
        <f t="shared" si="13"/>
        <v>Under 30</v>
      </c>
      <c r="O274" t="str">
        <f t="shared" si="14"/>
        <v>2025-10</v>
      </c>
      <c r="P274" s="9" t="str">
        <f>IF(ClinicData[[#This Row],[Sex]]= "Male", ClinicData[[#This Row],[Hb_g_dL]], "")</f>
        <v/>
      </c>
      <c r="Q274" s="9">
        <f>IF(ClinicData[[#This Row],[Sex]]="Female",ClinicData[[#This Row],[Hb_g_dL]], "")</f>
        <v>12.1</v>
      </c>
    </row>
    <row r="275" spans="1:17" x14ac:dyDescent="0.2">
      <c r="A275">
        <v>1274</v>
      </c>
      <c r="B275" s="2">
        <v>45685</v>
      </c>
      <c r="C275" t="s">
        <v>22</v>
      </c>
      <c r="D275">
        <v>18</v>
      </c>
      <c r="E275" t="s">
        <v>23</v>
      </c>
      <c r="F275" t="s">
        <v>29</v>
      </c>
      <c r="G275">
        <v>10.6</v>
      </c>
      <c r="H275" t="s">
        <v>31</v>
      </c>
      <c r="I275">
        <v>37.700000000000003</v>
      </c>
      <c r="J275">
        <v>5.4</v>
      </c>
      <c r="K275">
        <v>5</v>
      </c>
      <c r="L275" t="s">
        <v>19</v>
      </c>
      <c r="M275" t="str">
        <f t="shared" si="12"/>
        <v>Anemic</v>
      </c>
      <c r="N275" t="str">
        <f t="shared" si="13"/>
        <v>Under 30</v>
      </c>
      <c r="O275" t="str">
        <f t="shared" si="14"/>
        <v>2025-01</v>
      </c>
      <c r="P275" s="9">
        <f>IF(ClinicData[[#This Row],[Sex]]= "Male", ClinicData[[#This Row],[Hb_g_dL]], "")</f>
        <v>10.6</v>
      </c>
      <c r="Q275" s="9" t="str">
        <f>IF(ClinicData[[#This Row],[Sex]]="Female",ClinicData[[#This Row],[Hb_g_dL]], "")</f>
        <v/>
      </c>
    </row>
    <row r="276" spans="1:17" x14ac:dyDescent="0.2">
      <c r="A276">
        <v>1275</v>
      </c>
      <c r="B276" s="2">
        <v>45997</v>
      </c>
      <c r="C276" t="s">
        <v>15</v>
      </c>
      <c r="D276">
        <v>38</v>
      </c>
      <c r="E276" t="s">
        <v>23</v>
      </c>
      <c r="F276" t="s">
        <v>32</v>
      </c>
      <c r="G276">
        <v>13.4</v>
      </c>
      <c r="H276" t="s">
        <v>18</v>
      </c>
      <c r="I276">
        <v>37.200000000000003</v>
      </c>
      <c r="J276">
        <v>2.5</v>
      </c>
      <c r="K276">
        <v>1</v>
      </c>
      <c r="L276" t="s">
        <v>21</v>
      </c>
      <c r="M276" t="str">
        <f t="shared" si="12"/>
        <v>Normal</v>
      </c>
      <c r="N276" t="str">
        <f t="shared" si="13"/>
        <v>30 and Above</v>
      </c>
      <c r="O276" t="str">
        <f t="shared" si="14"/>
        <v>2025-12</v>
      </c>
      <c r="P276" s="9" t="str">
        <f>IF(ClinicData[[#This Row],[Sex]]= "Male", ClinicData[[#This Row],[Hb_g_dL]], "")</f>
        <v/>
      </c>
      <c r="Q276" s="9">
        <f>IF(ClinicData[[#This Row],[Sex]]="Female",ClinicData[[#This Row],[Hb_g_dL]], "")</f>
        <v>13.4</v>
      </c>
    </row>
    <row r="277" spans="1:17" x14ac:dyDescent="0.2">
      <c r="A277">
        <v>1276</v>
      </c>
      <c r="B277" s="2">
        <v>45747</v>
      </c>
      <c r="C277" t="s">
        <v>15</v>
      </c>
      <c r="D277">
        <v>16</v>
      </c>
      <c r="E277" t="s">
        <v>37</v>
      </c>
      <c r="F277" t="s">
        <v>24</v>
      </c>
      <c r="G277">
        <v>16</v>
      </c>
      <c r="H277" t="s">
        <v>18</v>
      </c>
      <c r="I277">
        <v>37.1</v>
      </c>
      <c r="J277">
        <v>6.8</v>
      </c>
      <c r="K277">
        <v>2</v>
      </c>
      <c r="L277" t="s">
        <v>19</v>
      </c>
      <c r="M277" t="str">
        <f t="shared" si="12"/>
        <v>Normal</v>
      </c>
      <c r="N277" t="str">
        <f t="shared" si="13"/>
        <v>Under 30</v>
      </c>
      <c r="O277" t="str">
        <f t="shared" si="14"/>
        <v>2025-03</v>
      </c>
      <c r="P277" s="9" t="str">
        <f>IF(ClinicData[[#This Row],[Sex]]= "Male", ClinicData[[#This Row],[Hb_g_dL]], "")</f>
        <v/>
      </c>
      <c r="Q277" s="9">
        <f>IF(ClinicData[[#This Row],[Sex]]="Female",ClinicData[[#This Row],[Hb_g_dL]], "")</f>
        <v>16</v>
      </c>
    </row>
    <row r="278" spans="1:17" x14ac:dyDescent="0.2">
      <c r="A278">
        <v>1277</v>
      </c>
      <c r="B278" s="2">
        <v>45919</v>
      </c>
      <c r="C278" t="s">
        <v>15</v>
      </c>
      <c r="D278">
        <v>6</v>
      </c>
      <c r="E278" t="s">
        <v>25</v>
      </c>
      <c r="F278" t="s">
        <v>26</v>
      </c>
      <c r="G278">
        <v>13.2</v>
      </c>
      <c r="H278" t="s">
        <v>18</v>
      </c>
      <c r="I278">
        <v>36.6</v>
      </c>
      <c r="J278">
        <v>4.3</v>
      </c>
      <c r="K278">
        <v>2</v>
      </c>
      <c r="L278" t="s">
        <v>21</v>
      </c>
      <c r="M278" t="str">
        <f t="shared" si="12"/>
        <v>Normal</v>
      </c>
      <c r="N278" t="str">
        <f t="shared" si="13"/>
        <v>Under 30</v>
      </c>
      <c r="O278" t="str">
        <f t="shared" si="14"/>
        <v>2025-09</v>
      </c>
      <c r="P278" s="9" t="str">
        <f>IF(ClinicData[[#This Row],[Sex]]= "Male", ClinicData[[#This Row],[Hb_g_dL]], "")</f>
        <v/>
      </c>
      <c r="Q278" s="9">
        <f>IF(ClinicData[[#This Row],[Sex]]="Female",ClinicData[[#This Row],[Hb_g_dL]], "")</f>
        <v>13.2</v>
      </c>
    </row>
    <row r="279" spans="1:17" x14ac:dyDescent="0.2">
      <c r="A279">
        <v>1278</v>
      </c>
      <c r="B279" s="2">
        <v>45903</v>
      </c>
      <c r="C279" t="s">
        <v>22</v>
      </c>
      <c r="D279">
        <v>26</v>
      </c>
      <c r="E279" t="s">
        <v>23</v>
      </c>
      <c r="F279" t="s">
        <v>26</v>
      </c>
      <c r="G279">
        <v>14.2</v>
      </c>
      <c r="H279" t="s">
        <v>18</v>
      </c>
      <c r="I279">
        <v>37.5</v>
      </c>
      <c r="J279">
        <v>8.1999999999999993</v>
      </c>
      <c r="K279">
        <v>7</v>
      </c>
      <c r="L279" t="s">
        <v>21</v>
      </c>
      <c r="M279" t="str">
        <f t="shared" si="12"/>
        <v>Normal</v>
      </c>
      <c r="N279" t="str">
        <f t="shared" si="13"/>
        <v>Under 30</v>
      </c>
      <c r="O279" t="str">
        <f t="shared" si="14"/>
        <v>2025-09</v>
      </c>
      <c r="P279" s="9">
        <f>IF(ClinicData[[#This Row],[Sex]]= "Male", ClinicData[[#This Row],[Hb_g_dL]], "")</f>
        <v>14.2</v>
      </c>
      <c r="Q279" s="9" t="str">
        <f>IF(ClinicData[[#This Row],[Sex]]="Female",ClinicData[[#This Row],[Hb_g_dL]], "")</f>
        <v/>
      </c>
    </row>
    <row r="280" spans="1:17" x14ac:dyDescent="0.2">
      <c r="A280">
        <v>1279</v>
      </c>
      <c r="B280" s="2">
        <v>45836</v>
      </c>
      <c r="C280" t="s">
        <v>15</v>
      </c>
      <c r="D280">
        <v>16</v>
      </c>
      <c r="E280" t="s">
        <v>23</v>
      </c>
      <c r="F280" t="s">
        <v>20</v>
      </c>
      <c r="G280">
        <v>12.5</v>
      </c>
      <c r="H280" t="s">
        <v>18</v>
      </c>
      <c r="I280">
        <v>36.9</v>
      </c>
      <c r="J280">
        <v>8.1999999999999993</v>
      </c>
      <c r="K280">
        <v>8</v>
      </c>
      <c r="L280" t="s">
        <v>21</v>
      </c>
      <c r="M280" t="str">
        <f t="shared" si="12"/>
        <v>Normal</v>
      </c>
      <c r="N280" t="str">
        <f t="shared" si="13"/>
        <v>Under 30</v>
      </c>
      <c r="O280" t="str">
        <f t="shared" si="14"/>
        <v>2025-06</v>
      </c>
      <c r="P280" s="9" t="str">
        <f>IF(ClinicData[[#This Row],[Sex]]= "Male", ClinicData[[#This Row],[Hb_g_dL]], "")</f>
        <v/>
      </c>
      <c r="Q280" s="9">
        <f>IF(ClinicData[[#This Row],[Sex]]="Female",ClinicData[[#This Row],[Hb_g_dL]], "")</f>
        <v>12.5</v>
      </c>
    </row>
    <row r="281" spans="1:17" x14ac:dyDescent="0.2">
      <c r="A281">
        <v>1280</v>
      </c>
      <c r="B281" s="2">
        <v>45960</v>
      </c>
      <c r="C281" t="s">
        <v>22</v>
      </c>
      <c r="D281">
        <v>16</v>
      </c>
      <c r="E281" t="s">
        <v>23</v>
      </c>
      <c r="F281" t="s">
        <v>29</v>
      </c>
      <c r="G281">
        <v>7</v>
      </c>
      <c r="H281" t="s">
        <v>18</v>
      </c>
      <c r="I281">
        <v>36.799999999999997</v>
      </c>
      <c r="J281">
        <v>6.9</v>
      </c>
      <c r="K281">
        <v>5</v>
      </c>
      <c r="L281" t="s">
        <v>21</v>
      </c>
      <c r="M281" t="str">
        <f t="shared" si="12"/>
        <v>Anemic</v>
      </c>
      <c r="N281" t="str">
        <f t="shared" si="13"/>
        <v>Under 30</v>
      </c>
      <c r="O281" t="str">
        <f t="shared" si="14"/>
        <v>2025-10</v>
      </c>
      <c r="P281" s="9">
        <f>IF(ClinicData[[#This Row],[Sex]]= "Male", ClinicData[[#This Row],[Hb_g_dL]], "")</f>
        <v>7</v>
      </c>
      <c r="Q281" s="9" t="str">
        <f>IF(ClinicData[[#This Row],[Sex]]="Female",ClinicData[[#This Row],[Hb_g_dL]], "")</f>
        <v/>
      </c>
    </row>
    <row r="282" spans="1:17" x14ac:dyDescent="0.2">
      <c r="A282">
        <v>1281</v>
      </c>
      <c r="B282" s="2">
        <v>45780</v>
      </c>
      <c r="C282" t="s">
        <v>22</v>
      </c>
      <c r="D282">
        <v>30</v>
      </c>
      <c r="E282" t="s">
        <v>30</v>
      </c>
      <c r="F282" t="s">
        <v>29</v>
      </c>
      <c r="G282">
        <v>12.3</v>
      </c>
      <c r="H282" t="s">
        <v>18</v>
      </c>
      <c r="I282">
        <v>37.200000000000003</v>
      </c>
      <c r="J282">
        <v>3.7</v>
      </c>
      <c r="K282">
        <v>6</v>
      </c>
      <c r="L282" t="s">
        <v>19</v>
      </c>
      <c r="M282" t="str">
        <f t="shared" si="12"/>
        <v>Normal</v>
      </c>
      <c r="N282" t="str">
        <f t="shared" si="13"/>
        <v>30 and Above</v>
      </c>
      <c r="O282" t="str">
        <f t="shared" si="14"/>
        <v>2025-05</v>
      </c>
      <c r="P282" s="9">
        <f>IF(ClinicData[[#This Row],[Sex]]= "Male", ClinicData[[#This Row],[Hb_g_dL]], "")</f>
        <v>12.3</v>
      </c>
      <c r="Q282" s="9" t="str">
        <f>IF(ClinicData[[#This Row],[Sex]]="Female",ClinicData[[#This Row],[Hb_g_dL]], "")</f>
        <v/>
      </c>
    </row>
    <row r="283" spans="1:17" x14ac:dyDescent="0.2">
      <c r="A283">
        <v>1282</v>
      </c>
      <c r="B283" s="2">
        <v>45702</v>
      </c>
      <c r="C283" t="s">
        <v>22</v>
      </c>
      <c r="D283">
        <v>33</v>
      </c>
      <c r="E283" t="s">
        <v>30</v>
      </c>
      <c r="F283" t="s">
        <v>35</v>
      </c>
      <c r="G283">
        <v>11.6</v>
      </c>
      <c r="H283" t="s">
        <v>18</v>
      </c>
      <c r="I283">
        <v>36.700000000000003</v>
      </c>
      <c r="J283">
        <v>11.5</v>
      </c>
      <c r="K283">
        <v>2</v>
      </c>
      <c r="L283" t="s">
        <v>19</v>
      </c>
      <c r="M283" t="str">
        <f t="shared" si="12"/>
        <v>Anemic</v>
      </c>
      <c r="N283" t="str">
        <f t="shared" si="13"/>
        <v>30 and Above</v>
      </c>
      <c r="O283" t="str">
        <f t="shared" si="14"/>
        <v>2025-02</v>
      </c>
      <c r="P283" s="9">
        <f>IF(ClinicData[[#This Row],[Sex]]= "Male", ClinicData[[#This Row],[Hb_g_dL]], "")</f>
        <v>11.6</v>
      </c>
      <c r="Q283" s="9" t="str">
        <f>IF(ClinicData[[#This Row],[Sex]]="Female",ClinicData[[#This Row],[Hb_g_dL]], "")</f>
        <v/>
      </c>
    </row>
    <row r="284" spans="1:17" x14ac:dyDescent="0.2">
      <c r="A284">
        <v>1283</v>
      </c>
      <c r="B284" s="2">
        <v>45868</v>
      </c>
      <c r="C284" t="s">
        <v>15</v>
      </c>
      <c r="D284">
        <v>24</v>
      </c>
      <c r="E284" t="s">
        <v>28</v>
      </c>
      <c r="F284" t="s">
        <v>32</v>
      </c>
      <c r="G284">
        <v>13.3</v>
      </c>
      <c r="H284" t="s">
        <v>18</v>
      </c>
      <c r="I284">
        <v>36.9</v>
      </c>
      <c r="J284">
        <v>8.4</v>
      </c>
      <c r="K284">
        <v>1</v>
      </c>
      <c r="L284" t="s">
        <v>19</v>
      </c>
      <c r="M284" t="str">
        <f t="shared" si="12"/>
        <v>Normal</v>
      </c>
      <c r="N284" t="str">
        <f t="shared" si="13"/>
        <v>Under 30</v>
      </c>
      <c r="O284" t="str">
        <f t="shared" si="14"/>
        <v>2025-07</v>
      </c>
      <c r="P284" s="9" t="str">
        <f>IF(ClinicData[[#This Row],[Sex]]= "Male", ClinicData[[#This Row],[Hb_g_dL]], "")</f>
        <v/>
      </c>
      <c r="Q284" s="9">
        <f>IF(ClinicData[[#This Row],[Sex]]="Female",ClinicData[[#This Row],[Hb_g_dL]], "")</f>
        <v>13.3</v>
      </c>
    </row>
    <row r="285" spans="1:17" x14ac:dyDescent="0.2">
      <c r="A285">
        <v>1284</v>
      </c>
      <c r="B285" s="2">
        <v>45884</v>
      </c>
      <c r="C285" t="s">
        <v>22</v>
      </c>
      <c r="D285">
        <v>29</v>
      </c>
      <c r="E285" t="s">
        <v>23</v>
      </c>
      <c r="F285" t="s">
        <v>35</v>
      </c>
      <c r="G285">
        <v>14.7</v>
      </c>
      <c r="H285" t="s">
        <v>18</v>
      </c>
      <c r="I285">
        <v>36.6</v>
      </c>
      <c r="J285">
        <v>10</v>
      </c>
      <c r="K285">
        <v>3</v>
      </c>
      <c r="L285" t="s">
        <v>19</v>
      </c>
      <c r="M285" t="str">
        <f t="shared" si="12"/>
        <v>Normal</v>
      </c>
      <c r="N285" t="str">
        <f t="shared" si="13"/>
        <v>Under 30</v>
      </c>
      <c r="O285" t="str">
        <f t="shared" si="14"/>
        <v>2025-08</v>
      </c>
      <c r="P285" s="9">
        <f>IF(ClinicData[[#This Row],[Sex]]= "Male", ClinicData[[#This Row],[Hb_g_dL]], "")</f>
        <v>14.7</v>
      </c>
      <c r="Q285" s="9" t="str">
        <f>IF(ClinicData[[#This Row],[Sex]]="Female",ClinicData[[#This Row],[Hb_g_dL]], "")</f>
        <v/>
      </c>
    </row>
    <row r="286" spans="1:17" x14ac:dyDescent="0.2">
      <c r="A286">
        <v>1285</v>
      </c>
      <c r="B286" s="2">
        <v>46075</v>
      </c>
      <c r="C286" t="s">
        <v>15</v>
      </c>
      <c r="D286">
        <v>17</v>
      </c>
      <c r="E286" t="s">
        <v>33</v>
      </c>
      <c r="F286" t="s">
        <v>24</v>
      </c>
      <c r="G286">
        <v>13.5</v>
      </c>
      <c r="H286" t="s">
        <v>18</v>
      </c>
      <c r="I286">
        <v>37.4</v>
      </c>
      <c r="J286">
        <v>12.5</v>
      </c>
      <c r="K286">
        <v>15</v>
      </c>
      <c r="L286" t="s">
        <v>19</v>
      </c>
      <c r="M286" t="str">
        <f t="shared" si="12"/>
        <v>Normal</v>
      </c>
      <c r="N286" t="str">
        <f t="shared" si="13"/>
        <v>Under 30</v>
      </c>
      <c r="O286" t="str">
        <f t="shared" si="14"/>
        <v>2026-02</v>
      </c>
      <c r="P286" s="9" t="str">
        <f>IF(ClinicData[[#This Row],[Sex]]= "Male", ClinicData[[#This Row],[Hb_g_dL]], "")</f>
        <v/>
      </c>
      <c r="Q286" s="9">
        <f>IF(ClinicData[[#This Row],[Sex]]="Female",ClinicData[[#This Row],[Hb_g_dL]], "")</f>
        <v>13.5</v>
      </c>
    </row>
    <row r="287" spans="1:17" x14ac:dyDescent="0.2">
      <c r="A287">
        <v>1286</v>
      </c>
      <c r="B287" s="2">
        <v>45747</v>
      </c>
      <c r="C287" t="s">
        <v>22</v>
      </c>
      <c r="D287">
        <v>16</v>
      </c>
      <c r="E287" t="s">
        <v>25</v>
      </c>
      <c r="F287" t="s">
        <v>17</v>
      </c>
      <c r="G287">
        <v>12.8</v>
      </c>
      <c r="H287" t="s">
        <v>18</v>
      </c>
      <c r="I287">
        <v>36.9</v>
      </c>
      <c r="J287">
        <v>3.8</v>
      </c>
      <c r="K287">
        <v>7</v>
      </c>
      <c r="L287" t="s">
        <v>21</v>
      </c>
      <c r="M287" t="str">
        <f t="shared" si="12"/>
        <v>Normal</v>
      </c>
      <c r="N287" t="str">
        <f t="shared" si="13"/>
        <v>Under 30</v>
      </c>
      <c r="O287" t="str">
        <f t="shared" si="14"/>
        <v>2025-03</v>
      </c>
      <c r="P287" s="9">
        <f>IF(ClinicData[[#This Row],[Sex]]= "Male", ClinicData[[#This Row],[Hb_g_dL]], "")</f>
        <v>12.8</v>
      </c>
      <c r="Q287" s="9" t="str">
        <f>IF(ClinicData[[#This Row],[Sex]]="Female",ClinicData[[#This Row],[Hb_g_dL]], "")</f>
        <v/>
      </c>
    </row>
    <row r="288" spans="1:17" x14ac:dyDescent="0.2">
      <c r="A288">
        <v>1287</v>
      </c>
      <c r="B288" s="2">
        <v>45787</v>
      </c>
      <c r="C288" t="s">
        <v>15</v>
      </c>
      <c r="D288">
        <v>10</v>
      </c>
      <c r="E288" t="s">
        <v>28</v>
      </c>
      <c r="F288" t="s">
        <v>20</v>
      </c>
      <c r="G288">
        <v>10.7</v>
      </c>
      <c r="H288" t="s">
        <v>31</v>
      </c>
      <c r="I288">
        <v>38.9</v>
      </c>
      <c r="J288">
        <v>11.2</v>
      </c>
      <c r="K288">
        <v>0</v>
      </c>
      <c r="L288" t="s">
        <v>27</v>
      </c>
      <c r="M288" t="str">
        <f t="shared" si="12"/>
        <v>Anemic</v>
      </c>
      <c r="N288" t="str">
        <f t="shared" si="13"/>
        <v>Under 30</v>
      </c>
      <c r="O288" t="str">
        <f t="shared" si="14"/>
        <v>2025-05</v>
      </c>
      <c r="P288" s="9" t="str">
        <f>IF(ClinicData[[#This Row],[Sex]]= "Male", ClinicData[[#This Row],[Hb_g_dL]], "")</f>
        <v/>
      </c>
      <c r="Q288" s="9">
        <f>IF(ClinicData[[#This Row],[Sex]]="Female",ClinicData[[#This Row],[Hb_g_dL]], "")</f>
        <v>10.7</v>
      </c>
    </row>
    <row r="289" spans="1:17" x14ac:dyDescent="0.2">
      <c r="A289">
        <v>1288</v>
      </c>
      <c r="B289" s="2">
        <v>45913</v>
      </c>
      <c r="C289" t="s">
        <v>22</v>
      </c>
      <c r="D289">
        <v>20</v>
      </c>
      <c r="E289" t="s">
        <v>16</v>
      </c>
      <c r="F289" t="s">
        <v>32</v>
      </c>
      <c r="G289">
        <v>14.8</v>
      </c>
      <c r="H289" t="s">
        <v>18</v>
      </c>
      <c r="I289">
        <v>37.4</v>
      </c>
      <c r="J289">
        <v>6.5</v>
      </c>
      <c r="K289">
        <v>0</v>
      </c>
      <c r="L289" t="s">
        <v>21</v>
      </c>
      <c r="M289" t="str">
        <f t="shared" si="12"/>
        <v>Normal</v>
      </c>
      <c r="N289" t="str">
        <f t="shared" si="13"/>
        <v>Under 30</v>
      </c>
      <c r="O289" t="str">
        <f t="shared" si="14"/>
        <v>2025-09</v>
      </c>
      <c r="P289" s="9">
        <f>IF(ClinicData[[#This Row],[Sex]]= "Male", ClinicData[[#This Row],[Hb_g_dL]], "")</f>
        <v>14.8</v>
      </c>
      <c r="Q289" s="9" t="str">
        <f>IF(ClinicData[[#This Row],[Sex]]="Female",ClinicData[[#This Row],[Hb_g_dL]], "")</f>
        <v/>
      </c>
    </row>
    <row r="290" spans="1:17" x14ac:dyDescent="0.2">
      <c r="A290">
        <v>1289</v>
      </c>
      <c r="B290" s="2">
        <v>46041</v>
      </c>
      <c r="C290" t="s">
        <v>22</v>
      </c>
      <c r="D290">
        <v>42</v>
      </c>
      <c r="E290" t="s">
        <v>23</v>
      </c>
      <c r="F290" t="s">
        <v>26</v>
      </c>
      <c r="G290">
        <v>13.6</v>
      </c>
      <c r="H290" t="s">
        <v>18</v>
      </c>
      <c r="I290">
        <v>37.4</v>
      </c>
      <c r="J290">
        <v>9.8000000000000007</v>
      </c>
      <c r="K290">
        <v>7</v>
      </c>
      <c r="L290" t="s">
        <v>19</v>
      </c>
      <c r="M290" t="str">
        <f t="shared" si="12"/>
        <v>Normal</v>
      </c>
      <c r="N290" t="str">
        <f t="shared" si="13"/>
        <v>30 and Above</v>
      </c>
      <c r="O290" t="str">
        <f t="shared" si="14"/>
        <v>2026-01</v>
      </c>
      <c r="P290" s="9">
        <f>IF(ClinicData[[#This Row],[Sex]]= "Male", ClinicData[[#This Row],[Hb_g_dL]], "")</f>
        <v>13.6</v>
      </c>
      <c r="Q290" s="9" t="str">
        <f>IF(ClinicData[[#This Row],[Sex]]="Female",ClinicData[[#This Row],[Hb_g_dL]], "")</f>
        <v/>
      </c>
    </row>
    <row r="291" spans="1:17" x14ac:dyDescent="0.2">
      <c r="A291">
        <v>1290</v>
      </c>
      <c r="B291" s="2">
        <v>45801</v>
      </c>
      <c r="C291" t="s">
        <v>15</v>
      </c>
      <c r="D291">
        <v>21</v>
      </c>
      <c r="E291" t="s">
        <v>25</v>
      </c>
      <c r="F291" t="s">
        <v>26</v>
      </c>
      <c r="G291">
        <v>11.9</v>
      </c>
      <c r="H291" t="s">
        <v>18</v>
      </c>
      <c r="I291">
        <v>37.1</v>
      </c>
      <c r="J291">
        <v>10.5</v>
      </c>
      <c r="K291">
        <v>8</v>
      </c>
      <c r="L291" t="s">
        <v>21</v>
      </c>
      <c r="M291" t="str">
        <f t="shared" si="12"/>
        <v>Anemic</v>
      </c>
      <c r="N291" t="str">
        <f t="shared" si="13"/>
        <v>Under 30</v>
      </c>
      <c r="O291" t="str">
        <f t="shared" si="14"/>
        <v>2025-05</v>
      </c>
      <c r="P291" s="9" t="str">
        <f>IF(ClinicData[[#This Row],[Sex]]= "Male", ClinicData[[#This Row],[Hb_g_dL]], "")</f>
        <v/>
      </c>
      <c r="Q291" s="9">
        <f>IF(ClinicData[[#This Row],[Sex]]="Female",ClinicData[[#This Row],[Hb_g_dL]], "")</f>
        <v>11.9</v>
      </c>
    </row>
    <row r="292" spans="1:17" x14ac:dyDescent="0.2">
      <c r="A292">
        <v>1291</v>
      </c>
      <c r="B292" s="2">
        <v>46011</v>
      </c>
      <c r="C292" t="s">
        <v>15</v>
      </c>
      <c r="D292">
        <v>23</v>
      </c>
      <c r="E292" t="s">
        <v>37</v>
      </c>
      <c r="F292" t="s">
        <v>24</v>
      </c>
      <c r="G292">
        <v>8.8000000000000007</v>
      </c>
      <c r="H292" t="s">
        <v>31</v>
      </c>
      <c r="I292">
        <v>37.700000000000003</v>
      </c>
      <c r="J292">
        <v>9</v>
      </c>
      <c r="K292">
        <v>5</v>
      </c>
      <c r="L292" t="s">
        <v>19</v>
      </c>
      <c r="M292" t="str">
        <f t="shared" si="12"/>
        <v>Anemic</v>
      </c>
      <c r="N292" t="str">
        <f t="shared" si="13"/>
        <v>Under 30</v>
      </c>
      <c r="O292" t="str">
        <f t="shared" si="14"/>
        <v>2025-12</v>
      </c>
      <c r="P292" s="9" t="str">
        <f>IF(ClinicData[[#This Row],[Sex]]= "Male", ClinicData[[#This Row],[Hb_g_dL]], "")</f>
        <v/>
      </c>
      <c r="Q292" s="9">
        <f>IF(ClinicData[[#This Row],[Sex]]="Female",ClinicData[[#This Row],[Hb_g_dL]], "")</f>
        <v>8.8000000000000007</v>
      </c>
    </row>
    <row r="293" spans="1:17" x14ac:dyDescent="0.2">
      <c r="A293">
        <v>1292</v>
      </c>
      <c r="B293" s="2">
        <v>45817</v>
      </c>
      <c r="C293" t="s">
        <v>15</v>
      </c>
      <c r="D293">
        <v>24</v>
      </c>
      <c r="E293" t="s">
        <v>33</v>
      </c>
      <c r="F293" t="s">
        <v>29</v>
      </c>
      <c r="G293">
        <v>7.3</v>
      </c>
      <c r="H293" t="s">
        <v>18</v>
      </c>
      <c r="I293">
        <v>36.6</v>
      </c>
      <c r="J293">
        <v>4.5</v>
      </c>
      <c r="K293">
        <v>15</v>
      </c>
      <c r="L293" t="s">
        <v>19</v>
      </c>
      <c r="M293" t="str">
        <f t="shared" si="12"/>
        <v>Anemic</v>
      </c>
      <c r="N293" t="str">
        <f t="shared" si="13"/>
        <v>Under 30</v>
      </c>
      <c r="O293" t="str">
        <f t="shared" si="14"/>
        <v>2025-06</v>
      </c>
      <c r="P293" s="9" t="str">
        <f>IF(ClinicData[[#This Row],[Sex]]= "Male", ClinicData[[#This Row],[Hb_g_dL]], "")</f>
        <v/>
      </c>
      <c r="Q293" s="9">
        <f>IF(ClinicData[[#This Row],[Sex]]="Female",ClinicData[[#This Row],[Hb_g_dL]], "")</f>
        <v>7.3</v>
      </c>
    </row>
    <row r="294" spans="1:17" x14ac:dyDescent="0.2">
      <c r="A294">
        <v>1293</v>
      </c>
      <c r="B294" s="2">
        <v>45859</v>
      </c>
      <c r="C294" t="s">
        <v>22</v>
      </c>
      <c r="D294">
        <v>31</v>
      </c>
      <c r="E294" t="s">
        <v>28</v>
      </c>
      <c r="F294" t="s">
        <v>26</v>
      </c>
      <c r="G294">
        <v>12.4</v>
      </c>
      <c r="H294" t="s">
        <v>18</v>
      </c>
      <c r="I294">
        <v>36.5</v>
      </c>
      <c r="J294">
        <v>6.4</v>
      </c>
      <c r="K294">
        <v>1</v>
      </c>
      <c r="L294" t="s">
        <v>19</v>
      </c>
      <c r="M294" t="str">
        <f t="shared" si="12"/>
        <v>Normal</v>
      </c>
      <c r="N294" t="str">
        <f t="shared" si="13"/>
        <v>30 and Above</v>
      </c>
      <c r="O294" t="str">
        <f t="shared" si="14"/>
        <v>2025-07</v>
      </c>
      <c r="P294" s="9">
        <f>IF(ClinicData[[#This Row],[Sex]]= "Male", ClinicData[[#This Row],[Hb_g_dL]], "")</f>
        <v>12.4</v>
      </c>
      <c r="Q294" s="9" t="str">
        <f>IF(ClinicData[[#This Row],[Sex]]="Female",ClinicData[[#This Row],[Hb_g_dL]], "")</f>
        <v/>
      </c>
    </row>
    <row r="295" spans="1:17" x14ac:dyDescent="0.2">
      <c r="A295">
        <v>1294</v>
      </c>
      <c r="B295" s="2">
        <v>45800</v>
      </c>
      <c r="C295" t="s">
        <v>15</v>
      </c>
      <c r="D295">
        <v>32</v>
      </c>
      <c r="E295" t="s">
        <v>23</v>
      </c>
      <c r="F295" t="s">
        <v>17</v>
      </c>
      <c r="G295">
        <v>12.2</v>
      </c>
      <c r="H295" t="s">
        <v>18</v>
      </c>
      <c r="I295">
        <v>37.6</v>
      </c>
      <c r="J295">
        <v>9.8000000000000007</v>
      </c>
      <c r="K295">
        <v>5</v>
      </c>
      <c r="L295" t="s">
        <v>19</v>
      </c>
      <c r="M295" t="str">
        <f t="shared" si="12"/>
        <v>Normal</v>
      </c>
      <c r="N295" t="str">
        <f t="shared" si="13"/>
        <v>30 and Above</v>
      </c>
      <c r="O295" t="str">
        <f t="shared" si="14"/>
        <v>2025-05</v>
      </c>
      <c r="P295" s="9" t="str">
        <f>IF(ClinicData[[#This Row],[Sex]]= "Male", ClinicData[[#This Row],[Hb_g_dL]], "")</f>
        <v/>
      </c>
      <c r="Q295" s="9">
        <f>IF(ClinicData[[#This Row],[Sex]]="Female",ClinicData[[#This Row],[Hb_g_dL]], "")</f>
        <v>12.2</v>
      </c>
    </row>
    <row r="296" spans="1:17" x14ac:dyDescent="0.2">
      <c r="A296">
        <v>1295</v>
      </c>
      <c r="B296" s="2">
        <v>45888</v>
      </c>
      <c r="C296" t="s">
        <v>15</v>
      </c>
      <c r="D296">
        <v>14</v>
      </c>
      <c r="E296" t="s">
        <v>25</v>
      </c>
      <c r="F296" t="s">
        <v>20</v>
      </c>
      <c r="G296">
        <v>11.5</v>
      </c>
      <c r="H296" t="s">
        <v>18</v>
      </c>
      <c r="I296">
        <v>35.9</v>
      </c>
      <c r="J296">
        <v>12.3</v>
      </c>
      <c r="K296">
        <v>2</v>
      </c>
      <c r="L296" t="s">
        <v>19</v>
      </c>
      <c r="M296" t="str">
        <f t="shared" si="12"/>
        <v>Anemic</v>
      </c>
      <c r="N296" t="str">
        <f t="shared" si="13"/>
        <v>Under 30</v>
      </c>
      <c r="O296" t="str">
        <f t="shared" si="14"/>
        <v>2025-08</v>
      </c>
      <c r="P296" s="9" t="str">
        <f>IF(ClinicData[[#This Row],[Sex]]= "Male", ClinicData[[#This Row],[Hb_g_dL]], "")</f>
        <v/>
      </c>
      <c r="Q296" s="9">
        <f>IF(ClinicData[[#This Row],[Sex]]="Female",ClinicData[[#This Row],[Hb_g_dL]], "")</f>
        <v>11.5</v>
      </c>
    </row>
    <row r="297" spans="1:17" x14ac:dyDescent="0.2">
      <c r="A297">
        <v>1296</v>
      </c>
      <c r="B297" s="2">
        <v>45966</v>
      </c>
      <c r="C297" t="s">
        <v>15</v>
      </c>
      <c r="D297">
        <v>31</v>
      </c>
      <c r="E297" t="s">
        <v>28</v>
      </c>
      <c r="F297" t="s">
        <v>17</v>
      </c>
      <c r="G297">
        <v>11.7</v>
      </c>
      <c r="H297" t="s">
        <v>18</v>
      </c>
      <c r="I297">
        <v>36.4</v>
      </c>
      <c r="J297">
        <v>5</v>
      </c>
      <c r="K297">
        <v>1</v>
      </c>
      <c r="L297" t="s">
        <v>19</v>
      </c>
      <c r="M297" t="str">
        <f t="shared" si="12"/>
        <v>Anemic</v>
      </c>
      <c r="N297" t="str">
        <f t="shared" si="13"/>
        <v>30 and Above</v>
      </c>
      <c r="O297" t="str">
        <f t="shared" si="14"/>
        <v>2025-11</v>
      </c>
      <c r="P297" s="9" t="str">
        <f>IF(ClinicData[[#This Row],[Sex]]= "Male", ClinicData[[#This Row],[Hb_g_dL]], "")</f>
        <v/>
      </c>
      <c r="Q297" s="9">
        <f>IF(ClinicData[[#This Row],[Sex]]="Female",ClinicData[[#This Row],[Hb_g_dL]], "")</f>
        <v>11.7</v>
      </c>
    </row>
    <row r="298" spans="1:17" x14ac:dyDescent="0.2">
      <c r="A298">
        <v>1297</v>
      </c>
      <c r="B298" s="2">
        <v>46062</v>
      </c>
      <c r="C298" t="s">
        <v>15</v>
      </c>
      <c r="D298">
        <v>16</v>
      </c>
      <c r="E298" t="s">
        <v>28</v>
      </c>
      <c r="F298" t="s">
        <v>26</v>
      </c>
      <c r="G298">
        <v>14.1</v>
      </c>
      <c r="H298" t="s">
        <v>18</v>
      </c>
      <c r="I298">
        <v>36.299999999999997</v>
      </c>
      <c r="J298">
        <v>7</v>
      </c>
      <c r="K298">
        <v>2</v>
      </c>
      <c r="L298" t="s">
        <v>27</v>
      </c>
      <c r="M298" t="str">
        <f t="shared" si="12"/>
        <v>Normal</v>
      </c>
      <c r="N298" t="str">
        <f t="shared" si="13"/>
        <v>Under 30</v>
      </c>
      <c r="O298" t="str">
        <f t="shared" si="14"/>
        <v>2026-02</v>
      </c>
      <c r="P298" s="9" t="str">
        <f>IF(ClinicData[[#This Row],[Sex]]= "Male", ClinicData[[#This Row],[Hb_g_dL]], "")</f>
        <v/>
      </c>
      <c r="Q298" s="9">
        <f>IF(ClinicData[[#This Row],[Sex]]="Female",ClinicData[[#This Row],[Hb_g_dL]], "")</f>
        <v>14.1</v>
      </c>
    </row>
    <row r="299" spans="1:17" x14ac:dyDescent="0.2">
      <c r="A299">
        <v>1298</v>
      </c>
      <c r="B299" s="2">
        <v>45805</v>
      </c>
      <c r="C299" t="s">
        <v>22</v>
      </c>
      <c r="D299">
        <v>40</v>
      </c>
      <c r="E299" t="s">
        <v>23</v>
      </c>
      <c r="F299" t="s">
        <v>32</v>
      </c>
      <c r="G299">
        <v>14.3</v>
      </c>
      <c r="H299" t="s">
        <v>18</v>
      </c>
      <c r="I299">
        <v>36.5</v>
      </c>
      <c r="J299">
        <v>6.4</v>
      </c>
      <c r="K299">
        <v>10</v>
      </c>
      <c r="L299" t="s">
        <v>21</v>
      </c>
      <c r="M299" t="str">
        <f t="shared" si="12"/>
        <v>Normal</v>
      </c>
      <c r="N299" t="str">
        <f t="shared" si="13"/>
        <v>30 and Above</v>
      </c>
      <c r="O299" t="str">
        <f t="shared" si="14"/>
        <v>2025-05</v>
      </c>
      <c r="P299" s="9">
        <f>IF(ClinicData[[#This Row],[Sex]]= "Male", ClinicData[[#This Row],[Hb_g_dL]], "")</f>
        <v>14.3</v>
      </c>
      <c r="Q299" s="9" t="str">
        <f>IF(ClinicData[[#This Row],[Sex]]="Female",ClinicData[[#This Row],[Hb_g_dL]], "")</f>
        <v/>
      </c>
    </row>
    <row r="300" spans="1:17" x14ac:dyDescent="0.2">
      <c r="A300">
        <v>1299</v>
      </c>
      <c r="B300" s="2">
        <v>46005</v>
      </c>
      <c r="C300" t="s">
        <v>15</v>
      </c>
      <c r="D300">
        <v>39</v>
      </c>
      <c r="E300" t="s">
        <v>25</v>
      </c>
      <c r="F300" t="s">
        <v>24</v>
      </c>
      <c r="G300">
        <v>14.2</v>
      </c>
      <c r="H300" t="s">
        <v>18</v>
      </c>
      <c r="I300">
        <v>37.799999999999997</v>
      </c>
      <c r="J300">
        <v>6.5</v>
      </c>
      <c r="K300">
        <v>7</v>
      </c>
      <c r="L300" t="s">
        <v>19</v>
      </c>
      <c r="M300" t="str">
        <f t="shared" si="12"/>
        <v>Normal</v>
      </c>
      <c r="N300" t="str">
        <f t="shared" si="13"/>
        <v>30 and Above</v>
      </c>
      <c r="O300" t="str">
        <f t="shared" si="14"/>
        <v>2025-12</v>
      </c>
      <c r="P300" s="9" t="str">
        <f>IF(ClinicData[[#This Row],[Sex]]= "Male", ClinicData[[#This Row],[Hb_g_dL]], "")</f>
        <v/>
      </c>
      <c r="Q300" s="9">
        <f>IF(ClinicData[[#This Row],[Sex]]="Female",ClinicData[[#This Row],[Hb_g_dL]], "")</f>
        <v>14.2</v>
      </c>
    </row>
    <row r="301" spans="1:17" x14ac:dyDescent="0.2">
      <c r="A301">
        <v>1300</v>
      </c>
      <c r="B301" s="2">
        <v>46018</v>
      </c>
      <c r="C301" t="s">
        <v>15</v>
      </c>
      <c r="D301">
        <v>44</v>
      </c>
      <c r="E301" t="s">
        <v>25</v>
      </c>
      <c r="F301" t="s">
        <v>17</v>
      </c>
      <c r="G301">
        <v>11</v>
      </c>
      <c r="H301" t="s">
        <v>18</v>
      </c>
      <c r="I301">
        <v>36</v>
      </c>
      <c r="J301">
        <v>4.5</v>
      </c>
      <c r="K301">
        <v>5</v>
      </c>
      <c r="L301" t="s">
        <v>21</v>
      </c>
      <c r="M301" t="str">
        <f t="shared" si="12"/>
        <v>Anemic</v>
      </c>
      <c r="N301" t="str">
        <f t="shared" si="13"/>
        <v>30 and Above</v>
      </c>
      <c r="O301" t="str">
        <f t="shared" si="14"/>
        <v>2025-12</v>
      </c>
      <c r="P301" s="9" t="str">
        <f>IF(ClinicData[[#This Row],[Sex]]= "Male", ClinicData[[#This Row],[Hb_g_dL]], "")</f>
        <v/>
      </c>
      <c r="Q301" s="9">
        <f>IF(ClinicData[[#This Row],[Sex]]="Female",ClinicData[[#This Row],[Hb_g_dL]], "")</f>
        <v>11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cp:lastModifiedBy>
  <dcterms:created xsi:type="dcterms:W3CDTF">2026-03-03T14:46:49Z</dcterms:created>
  <dcterms:modified xsi:type="dcterms:W3CDTF">2026-03-06T09:00:04Z</dcterms:modified>
</cp:coreProperties>
</file>